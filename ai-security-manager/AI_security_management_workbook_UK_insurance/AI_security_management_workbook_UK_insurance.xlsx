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arry\Downloads\"/>
    </mc:Choice>
  </mc:AlternateContent>
  <xr:revisionPtr revIDLastSave="0" documentId="13_ncr:20001_{0EA97A6E-E641-4275-8CBF-D2D1C2F5E874}" xr6:coauthVersionLast="47" xr6:coauthVersionMax="47" xr10:uidLastSave="{00000000-0000-0000-0000-000000000000}"/>
  <bookViews>
    <workbookView xWindow="-120" yWindow="-120" windowWidth="29040" windowHeight="17520" tabRatio="500" firstSheet="31" activeTab="32" xr2:uid="{00000000-000D-0000-FFFF-FFFF00000000}"/>
  </bookViews>
  <sheets>
    <sheet name="Board Dashboard" sheetId="1" r:id="rId1"/>
    <sheet name="Board Pack Notes" sheetId="2" r:id="rId2"/>
    <sheet name="Board KPI-KRI Tracker" sheetId="3" r:id="rId3"/>
    <sheet name="Management Review and Internal " sheetId="4" r:id="rId4"/>
    <sheet name="Dashboard" sheetId="5" r:id="rId5"/>
    <sheet name="Executive Report" sheetId="6" r:id="rId6"/>
    <sheet name="TOM &amp; Strategy" sheetId="7" r:id="rId7"/>
    <sheet name="TOM Index" sheetId="8" r:id="rId8"/>
    <sheet name="AI Use Case Register" sheetId="9" r:id="rId9"/>
    <sheet name="Governance Framework" sheetId="10" r:id="rId10"/>
    <sheet name="RACI Matrix" sheetId="11" r:id="rId11"/>
    <sheet name="Service Catalog Master" sheetId="12" r:id="rId12"/>
    <sheet name="SLA-SLO Definitions" sheetId="13" r:id="rId13"/>
    <sheet name="Service Request Log" sheetId="14" r:id="rId14"/>
    <sheet name="KRI Tracking" sheetId="15" r:id="rId15"/>
    <sheet name="Risk Quantification" sheetId="16" r:id="rId16"/>
    <sheet name="Third-Party Risk Services" sheetId="17" r:id="rId17"/>
    <sheet name="Incident Analysis" sheetId="18" r:id="rId18"/>
    <sheet name="Compliance Mapping" sheetId="19" r:id="rId19"/>
    <sheet name="Cloud Security Services" sheetId="20" r:id="rId20"/>
    <sheet name="IAM Services" sheetId="21" r:id="rId21"/>
    <sheet name="KPI Tracking" sheetId="22" r:id="rId22"/>
    <sheet name="Maturity Assessment" sheetId="23" r:id="rId23"/>
    <sheet name="Metrics Calculation Guide" sheetId="24" r:id="rId24"/>
    <sheet name="Technology Stack" sheetId="25" r:id="rId25"/>
    <sheet name="Automation Hub" sheetId="26" r:id="rId26"/>
    <sheet name="Resource Planning" sheetId="27" r:id="rId27"/>
    <sheet name="Financial Analysis" sheetId="28" r:id="rId28"/>
    <sheet name="Implementation Roadmap" sheetId="29" r:id="rId29"/>
    <sheet name="Business Continuity" sheetId="30" r:id="rId30"/>
    <sheet name="Reference Data" sheetId="31" r:id="rId31"/>
    <sheet name="ID Glossary and Navigation Inde" sheetId="32" r:id="rId32"/>
    <sheet name="FORM - Index" sheetId="33" r:id="rId33"/>
    <sheet name="FORM - AI Use Case Register" sheetId="34" r:id="rId34"/>
    <sheet name="FORM - Risk Quantification" sheetId="35" r:id="rId35"/>
    <sheet name="FORM - KRI Tracking" sheetId="36" r:id="rId36"/>
    <sheet name="FORM - KPI Tracking" sheetId="37" r:id="rId37"/>
    <sheet name="FORM - Incident Analysis" sheetId="38" r:id="rId38"/>
    <sheet name="FORM - Third-Party Risk" sheetId="39" r:id="rId39"/>
    <sheet name="FORM - Compliance Mapping" sheetId="40" r:id="rId40"/>
    <sheet name="FORM - Service Catalog" sheetId="41" r:id="rId41"/>
    <sheet name="FORM - SLA-SLO Definitions" sheetId="42" r:id="rId42"/>
    <sheet name="FORM - Service Request Log" sheetId="43" r:id="rId43"/>
    <sheet name="FORM - Governance Framework" sheetId="44" r:id="rId44"/>
    <sheet name="FORM - RACI Matrix" sheetId="45" r:id="rId45"/>
    <sheet name="FORM - Maturity Assessment" sheetId="46" r:id="rId46"/>
    <sheet name="FORM - Implementation Roadmap" sheetId="47" r:id="rId47"/>
    <sheet name="FORM - Resource Planning" sheetId="48" r:id="rId48"/>
    <sheet name="FORM - Financial Analysis" sheetId="49" r:id="rId49"/>
    <sheet name="FORM - Cloud Security" sheetId="50" r:id="rId50"/>
    <sheet name="FORM - IAM Services" sheetId="51" r:id="rId51"/>
    <sheet name="FORM - Technology Stack" sheetId="52" r:id="rId52"/>
    <sheet name="FORM - Automation Hub" sheetId="53" r:id="rId53"/>
    <sheet name="FORM - Business Continuity" sheetId="54" r:id="rId54"/>
    <sheet name="FORM - Mgmt Review &amp; Audit" sheetId="55" r:id="rId55"/>
    <sheet name="FORM - Metrics Calc Guide" sheetId="56" r:id="rId56"/>
    <sheet name="FORM - Reference Data" sheetId="57" r:id="rId57"/>
  </sheets>
  <externalReferences>
    <externalReference r:id="rId58"/>
    <externalReference r:id="rId59"/>
    <externalReference r:id="rId60"/>
  </externalReferences>
  <calcPr calcId="191029" iterate="1" iterateCount="1000" iterateDelta="0.0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6" l="1"/>
  <c r="E16" i="6"/>
  <c r="D17" i="6"/>
  <c r="E17" i="6"/>
  <c r="D18" i="6"/>
  <c r="E18" i="6"/>
  <c r="D19" i="6"/>
  <c r="E19" i="6"/>
  <c r="D20" i="6"/>
  <c r="E20" i="6"/>
  <c r="E40" i="6"/>
  <c r="F40" i="6"/>
  <c r="E41" i="6"/>
  <c r="F41" i="6"/>
  <c r="E42" i="6"/>
  <c r="F42" i="6"/>
  <c r="E43" i="6"/>
  <c r="F43" i="6"/>
  <c r="E44" i="6"/>
  <c r="F44" i="6"/>
  <c r="E45" i="6"/>
  <c r="F45" i="6"/>
  <c r="E46" i="6"/>
  <c r="F46" i="6"/>
  <c r="E47" i="6"/>
  <c r="F47" i="6"/>
  <c r="E48" i="6"/>
  <c r="F48" i="6"/>
  <c r="E49" i="6"/>
  <c r="F49" i="6"/>
  <c r="D53" i="6"/>
  <c r="D54" i="6"/>
  <c r="D55" i="6"/>
  <c r="D56" i="6"/>
  <c r="D57" i="6"/>
  <c r="D58" i="6"/>
  <c r="D59" i="6"/>
  <c r="D60" i="6"/>
  <c r="D61" i="6"/>
  <c r="K62" i="4"/>
  <c r="I62" i="4"/>
  <c r="E62" i="4"/>
  <c r="C62" i="4"/>
  <c r="A62" i="4"/>
  <c r="H36" i="4"/>
  <c r="H35" i="4"/>
  <c r="H34" i="4"/>
  <c r="H33" i="4"/>
  <c r="H32" i="4"/>
  <c r="H31" i="4"/>
  <c r="H30" i="4"/>
  <c r="H29" i="4"/>
  <c r="H28" i="4"/>
  <c r="H27" i="4"/>
  <c r="H26" i="4"/>
  <c r="H25" i="4"/>
  <c r="H24" i="4"/>
  <c r="H23" i="4"/>
  <c r="I36" i="3"/>
  <c r="G36" i="3"/>
  <c r="E36" i="3"/>
  <c r="C36" i="3"/>
  <c r="A36" i="3"/>
  <c r="M32" i="3"/>
  <c r="L32" i="3"/>
  <c r="H32" i="3"/>
  <c r="G32" i="3"/>
  <c r="F32" i="3"/>
  <c r="E32" i="3"/>
  <c r="D32" i="3"/>
  <c r="C32" i="3"/>
  <c r="B32" i="3"/>
  <c r="A32" i="3"/>
  <c r="M31" i="3"/>
  <c r="L31" i="3"/>
  <c r="H31" i="3"/>
  <c r="G31" i="3"/>
  <c r="F31" i="3"/>
  <c r="E31" i="3"/>
  <c r="D31" i="3"/>
  <c r="C31" i="3"/>
  <c r="B31" i="3"/>
  <c r="A31" i="3"/>
  <c r="M30" i="3"/>
  <c r="L30" i="3"/>
  <c r="H30" i="3"/>
  <c r="G30" i="3"/>
  <c r="F30" i="3"/>
  <c r="E30" i="3"/>
  <c r="D30" i="3"/>
  <c r="C30" i="3"/>
  <c r="B30" i="3"/>
  <c r="A30" i="3"/>
  <c r="M29" i="3"/>
  <c r="L29" i="3"/>
  <c r="H29" i="3"/>
  <c r="G29" i="3"/>
  <c r="F29" i="3"/>
  <c r="E29" i="3"/>
  <c r="D29" i="3"/>
  <c r="C29" i="3"/>
  <c r="B29" i="3"/>
  <c r="A29" i="3"/>
  <c r="M28" i="3"/>
  <c r="L28" i="3"/>
  <c r="H28" i="3"/>
  <c r="G28" i="3"/>
  <c r="F28" i="3"/>
  <c r="E28" i="3"/>
  <c r="D28" i="3"/>
  <c r="C28" i="3"/>
  <c r="B28" i="3"/>
  <c r="A28" i="3"/>
  <c r="M27" i="3"/>
  <c r="L27" i="3"/>
  <c r="H27" i="3"/>
  <c r="G27" i="3"/>
  <c r="F27" i="3"/>
  <c r="E27" i="3"/>
  <c r="D27" i="3"/>
  <c r="C27" i="3"/>
  <c r="B27" i="3"/>
  <c r="A27" i="3"/>
  <c r="M26" i="3"/>
  <c r="L26" i="3"/>
  <c r="H26" i="3"/>
  <c r="G26" i="3"/>
  <c r="F26" i="3"/>
  <c r="E26" i="3"/>
  <c r="D26" i="3"/>
  <c r="C26" i="3"/>
  <c r="B26" i="3"/>
  <c r="A26" i="3"/>
  <c r="M25" i="3"/>
  <c r="L25" i="3"/>
  <c r="H25" i="3"/>
  <c r="G25" i="3"/>
  <c r="F25" i="3"/>
  <c r="E25" i="3"/>
  <c r="D25" i="3"/>
  <c r="C25" i="3"/>
  <c r="B25" i="3"/>
  <c r="A25" i="3"/>
  <c r="M24" i="3"/>
  <c r="L24" i="3"/>
  <c r="H24" i="3"/>
  <c r="G24" i="3"/>
  <c r="F24" i="3"/>
  <c r="E24" i="3"/>
  <c r="D24" i="3"/>
  <c r="C24" i="3"/>
  <c r="B24" i="3"/>
  <c r="A24" i="3"/>
  <c r="M23" i="3"/>
  <c r="L23" i="3"/>
  <c r="H23" i="3"/>
  <c r="G23" i="3"/>
  <c r="F23" i="3"/>
  <c r="E23" i="3"/>
  <c r="D23" i="3"/>
  <c r="C23" i="3"/>
  <c r="B23" i="3"/>
  <c r="A23" i="3"/>
  <c r="M22" i="3"/>
  <c r="L22" i="3"/>
  <c r="H22" i="3"/>
  <c r="G22" i="3"/>
  <c r="F22" i="3"/>
  <c r="E22" i="3"/>
  <c r="D22" i="3"/>
  <c r="C22" i="3"/>
  <c r="B22" i="3"/>
  <c r="A22" i="3"/>
  <c r="M18" i="3"/>
  <c r="L18" i="3"/>
  <c r="I18" i="3"/>
  <c r="H18" i="3"/>
  <c r="G18" i="3"/>
  <c r="F18" i="3"/>
  <c r="E18" i="3"/>
  <c r="D18" i="3"/>
  <c r="C18" i="3"/>
  <c r="B18" i="3"/>
  <c r="A18" i="3"/>
  <c r="M17" i="3"/>
  <c r="L17" i="3"/>
  <c r="I17" i="3"/>
  <c r="H17" i="3"/>
  <c r="G17" i="3"/>
  <c r="F17" i="3"/>
  <c r="E17" i="3"/>
  <c r="D17" i="3"/>
  <c r="C17" i="3"/>
  <c r="B17" i="3"/>
  <c r="A17" i="3"/>
  <c r="M16" i="3"/>
  <c r="L16" i="3"/>
  <c r="I16" i="3"/>
  <c r="H16" i="3"/>
  <c r="G16" i="3"/>
  <c r="F16" i="3"/>
  <c r="E16" i="3"/>
  <c r="D16" i="3"/>
  <c r="C16" i="3"/>
  <c r="B16" i="3"/>
  <c r="A16" i="3"/>
  <c r="M15" i="3"/>
  <c r="L15" i="3"/>
  <c r="I15" i="3"/>
  <c r="H15" i="3"/>
  <c r="G15" i="3"/>
  <c r="F15" i="3"/>
  <c r="E15" i="3"/>
  <c r="D15" i="3"/>
  <c r="C15" i="3"/>
  <c r="B15" i="3"/>
  <c r="A15" i="3"/>
  <c r="M14" i="3"/>
  <c r="L14" i="3"/>
  <c r="I14" i="3"/>
  <c r="H14" i="3"/>
  <c r="G14" i="3"/>
  <c r="F14" i="3"/>
  <c r="E14" i="3"/>
  <c r="D14" i="3"/>
  <c r="C14" i="3"/>
  <c r="B14" i="3"/>
  <c r="A14" i="3"/>
  <c r="M13" i="3"/>
  <c r="L13" i="3"/>
  <c r="I13" i="3"/>
  <c r="H13" i="3"/>
  <c r="G13" i="3"/>
  <c r="F13" i="3"/>
  <c r="E13" i="3"/>
  <c r="D13" i="3"/>
  <c r="C13" i="3"/>
  <c r="B13" i="3"/>
  <c r="A13" i="3"/>
  <c r="M12" i="3"/>
  <c r="L12" i="3"/>
  <c r="I12" i="3"/>
  <c r="H12" i="3"/>
  <c r="G12" i="3"/>
  <c r="F12" i="3"/>
  <c r="E12" i="3"/>
  <c r="D12" i="3"/>
  <c r="C12" i="3"/>
  <c r="B12" i="3"/>
  <c r="A12" i="3"/>
  <c r="M11" i="3"/>
  <c r="L11" i="3"/>
  <c r="I11" i="3"/>
  <c r="H11" i="3"/>
  <c r="G11" i="3"/>
  <c r="F11" i="3"/>
  <c r="E11" i="3"/>
  <c r="D11" i="3"/>
  <c r="C11" i="3"/>
  <c r="B11" i="3"/>
  <c r="A11" i="3"/>
  <c r="M10" i="3"/>
  <c r="L10" i="3"/>
  <c r="I10" i="3"/>
  <c r="H10" i="3"/>
  <c r="G10" i="3"/>
  <c r="F10" i="3"/>
  <c r="E10" i="3"/>
  <c r="D10" i="3"/>
  <c r="C10" i="3"/>
  <c r="B10" i="3"/>
  <c r="A10" i="3"/>
  <c r="A7" i="1"/>
  <c r="J116" i="1"/>
  <c r="G116" i="1"/>
  <c r="D116" i="1"/>
  <c r="A116" i="1"/>
  <c r="J91" i="1"/>
  <c r="G91" i="1"/>
  <c r="D91" i="1"/>
  <c r="A91" i="1"/>
  <c r="G88" i="1"/>
  <c r="D88" i="1"/>
  <c r="J87" i="1"/>
  <c r="G87" i="1"/>
  <c r="D87" i="1"/>
  <c r="A87" i="1"/>
  <c r="K83" i="1"/>
  <c r="J83" i="1"/>
  <c r="I83" i="1"/>
  <c r="H83" i="1"/>
  <c r="G83" i="1"/>
  <c r="F83" i="1"/>
  <c r="C83" i="1"/>
  <c r="A83" i="1"/>
  <c r="K82" i="1"/>
  <c r="J82" i="1"/>
  <c r="I82" i="1"/>
  <c r="H82" i="1"/>
  <c r="G82" i="1"/>
  <c r="F82" i="1"/>
  <c r="C82" i="1"/>
  <c r="A82" i="1"/>
  <c r="K81" i="1"/>
  <c r="J81" i="1"/>
  <c r="I81" i="1"/>
  <c r="H81" i="1"/>
  <c r="G81" i="1"/>
  <c r="F81" i="1"/>
  <c r="C81" i="1"/>
  <c r="A81" i="1"/>
  <c r="K80" i="1"/>
  <c r="J80" i="1"/>
  <c r="I80" i="1"/>
  <c r="H80" i="1"/>
  <c r="G80" i="1"/>
  <c r="F80" i="1"/>
  <c r="C80" i="1"/>
  <c r="A80" i="1"/>
  <c r="K79" i="1"/>
  <c r="J79" i="1"/>
  <c r="I79" i="1"/>
  <c r="H79" i="1"/>
  <c r="G79" i="1"/>
  <c r="F79" i="1"/>
  <c r="C79" i="1"/>
  <c r="A79" i="1"/>
  <c r="K78" i="1"/>
  <c r="J78" i="1"/>
  <c r="I78" i="1"/>
  <c r="H78" i="1"/>
  <c r="G78" i="1"/>
  <c r="F78" i="1"/>
  <c r="C78" i="1"/>
  <c r="A78" i="1"/>
  <c r="K77" i="1"/>
  <c r="J77" i="1"/>
  <c r="I77" i="1"/>
  <c r="H77" i="1"/>
  <c r="G77" i="1"/>
  <c r="F77" i="1"/>
  <c r="C77" i="1"/>
  <c r="A77" i="1"/>
  <c r="K76" i="1"/>
  <c r="J76" i="1"/>
  <c r="I76" i="1"/>
  <c r="H76" i="1"/>
  <c r="G76" i="1"/>
  <c r="F76" i="1"/>
  <c r="C76" i="1"/>
  <c r="A76" i="1"/>
  <c r="K75" i="1"/>
  <c r="J75" i="1"/>
  <c r="I75" i="1"/>
  <c r="H75" i="1"/>
  <c r="G75" i="1"/>
  <c r="F75" i="1"/>
  <c r="C75" i="1"/>
  <c r="A75" i="1"/>
  <c r="K74" i="1"/>
  <c r="J74" i="1"/>
  <c r="I74" i="1"/>
  <c r="H74" i="1"/>
  <c r="G74" i="1"/>
  <c r="F74" i="1"/>
  <c r="C74" i="1"/>
  <c r="A74" i="1"/>
  <c r="K73" i="1"/>
  <c r="J73" i="1"/>
  <c r="I73" i="1"/>
  <c r="H73" i="1"/>
  <c r="G73" i="1"/>
  <c r="F73" i="1"/>
  <c r="C73" i="1"/>
  <c r="A73" i="1"/>
  <c r="K72" i="1"/>
  <c r="J72" i="1"/>
  <c r="I72" i="1"/>
  <c r="H72" i="1"/>
  <c r="G72" i="1"/>
  <c r="F72" i="1"/>
  <c r="C72" i="1"/>
  <c r="A72" i="1"/>
  <c r="K59" i="1"/>
  <c r="I59" i="1"/>
  <c r="F59" i="1"/>
  <c r="C59" i="1"/>
  <c r="A59" i="1"/>
  <c r="K58" i="1"/>
  <c r="I58" i="1"/>
  <c r="F58" i="1"/>
  <c r="C58" i="1"/>
  <c r="A58" i="1"/>
  <c r="K57" i="1"/>
  <c r="I57" i="1"/>
  <c r="F57" i="1"/>
  <c r="C57" i="1"/>
  <c r="A57" i="1"/>
  <c r="K56" i="1"/>
  <c r="I56" i="1"/>
  <c r="F56" i="1"/>
  <c r="C56" i="1"/>
  <c r="A56" i="1"/>
  <c r="K55" i="1"/>
  <c r="I55" i="1"/>
  <c r="F55" i="1"/>
  <c r="C55" i="1"/>
  <c r="A55" i="1"/>
  <c r="K54" i="1"/>
  <c r="I54" i="1"/>
  <c r="F54" i="1"/>
  <c r="C54" i="1"/>
  <c r="A54" i="1"/>
  <c r="J49" i="1"/>
  <c r="G49" i="1"/>
  <c r="D49" i="1"/>
  <c r="A49" i="1"/>
  <c r="K45" i="1"/>
  <c r="J45" i="1"/>
  <c r="I45" i="1"/>
  <c r="H45" i="1"/>
  <c r="G45" i="1"/>
  <c r="F45" i="1"/>
  <c r="C45" i="1"/>
  <c r="A45" i="1"/>
  <c r="K44" i="1"/>
  <c r="J44" i="1"/>
  <c r="I44" i="1"/>
  <c r="H44" i="1"/>
  <c r="G44" i="1"/>
  <c r="F44" i="1"/>
  <c r="C44" i="1"/>
  <c r="A44" i="1"/>
  <c r="K43" i="1"/>
  <c r="J43" i="1"/>
  <c r="I43" i="1"/>
  <c r="H43" i="1"/>
  <c r="G43" i="1"/>
  <c r="F43" i="1"/>
  <c r="C43" i="1"/>
  <c r="A43" i="1"/>
  <c r="K42" i="1"/>
  <c r="J42" i="1"/>
  <c r="I42" i="1"/>
  <c r="H42" i="1"/>
  <c r="G42" i="1"/>
  <c r="F42" i="1"/>
  <c r="C42" i="1"/>
  <c r="A42" i="1"/>
  <c r="K41" i="1"/>
  <c r="J41" i="1"/>
  <c r="I41" i="1"/>
  <c r="H41" i="1"/>
  <c r="G41" i="1"/>
  <c r="F41" i="1"/>
  <c r="C41" i="1"/>
  <c r="A41" i="1"/>
  <c r="K40" i="1"/>
  <c r="J40" i="1"/>
  <c r="I40" i="1"/>
  <c r="H40" i="1"/>
  <c r="G40" i="1"/>
  <c r="F40" i="1"/>
  <c r="C40" i="1"/>
  <c r="A40" i="1"/>
  <c r="K39" i="1"/>
  <c r="J39" i="1"/>
  <c r="I39" i="1"/>
  <c r="H39" i="1"/>
  <c r="G39" i="1"/>
  <c r="F39" i="1"/>
  <c r="C39" i="1"/>
  <c r="A39" i="1"/>
  <c r="K38" i="1"/>
  <c r="J38" i="1"/>
  <c r="I38" i="1"/>
  <c r="H38" i="1"/>
  <c r="G38" i="1"/>
  <c r="F38" i="1"/>
  <c r="C38" i="1"/>
  <c r="A38" i="1"/>
  <c r="K37" i="1"/>
  <c r="J37" i="1"/>
  <c r="I37" i="1"/>
  <c r="H37" i="1"/>
  <c r="G37" i="1"/>
  <c r="F37" i="1"/>
  <c r="C37" i="1"/>
  <c r="A37" i="1"/>
  <c r="J33" i="1"/>
  <c r="I33" i="1"/>
  <c r="G33" i="1"/>
  <c r="K32" i="1"/>
  <c r="J32" i="1"/>
  <c r="I32" i="1"/>
  <c r="H32" i="1"/>
  <c r="G32" i="1"/>
  <c r="C32" i="1"/>
  <c r="A32" i="1"/>
  <c r="K31" i="1"/>
  <c r="J31" i="1"/>
  <c r="I31" i="1"/>
  <c r="H31" i="1"/>
  <c r="G31" i="1"/>
  <c r="C31" i="1"/>
  <c r="A31" i="1"/>
  <c r="K30" i="1"/>
  <c r="J30" i="1"/>
  <c r="I30" i="1"/>
  <c r="H30" i="1"/>
  <c r="G30" i="1"/>
  <c r="C30" i="1"/>
  <c r="A30" i="1"/>
  <c r="K29" i="1"/>
  <c r="J29" i="1"/>
  <c r="I29" i="1"/>
  <c r="H29" i="1"/>
  <c r="G29" i="1"/>
  <c r="C29" i="1"/>
  <c r="A29" i="1"/>
  <c r="K28" i="1"/>
  <c r="J28" i="1"/>
  <c r="I28" i="1"/>
  <c r="H28" i="1"/>
  <c r="G28" i="1"/>
  <c r="C28" i="1"/>
  <c r="A28" i="1"/>
  <c r="K27" i="1"/>
  <c r="J27" i="1"/>
  <c r="I27" i="1"/>
  <c r="H27" i="1"/>
  <c r="G27" i="1"/>
  <c r="C27" i="1"/>
  <c r="A27" i="1"/>
  <c r="K26" i="1"/>
  <c r="J26" i="1"/>
  <c r="I26" i="1"/>
  <c r="H26" i="1"/>
  <c r="G26" i="1"/>
  <c r="C26" i="1"/>
  <c r="A26" i="1"/>
  <c r="K25" i="1"/>
  <c r="J25" i="1"/>
  <c r="I25" i="1"/>
  <c r="H25" i="1"/>
  <c r="G25" i="1"/>
  <c r="C25" i="1"/>
  <c r="A25" i="1"/>
  <c r="K24" i="1"/>
  <c r="J24" i="1"/>
  <c r="I24" i="1"/>
  <c r="H24" i="1"/>
  <c r="G24" i="1"/>
  <c r="C24" i="1"/>
  <c r="A24" i="1"/>
  <c r="K20" i="1"/>
  <c r="J20" i="1"/>
  <c r="I20" i="1"/>
  <c r="H20" i="1"/>
  <c r="G20" i="1"/>
  <c r="C20" i="1"/>
  <c r="A20" i="1"/>
  <c r="K19" i="1"/>
  <c r="J19" i="1"/>
  <c r="I19" i="1"/>
  <c r="H19" i="1"/>
  <c r="G19" i="1"/>
  <c r="C19" i="1"/>
  <c r="A19" i="1"/>
  <c r="K18" i="1"/>
  <c r="J18" i="1"/>
  <c r="I18" i="1"/>
  <c r="H18" i="1"/>
  <c r="G18" i="1"/>
  <c r="C18" i="1"/>
  <c r="A18" i="1"/>
  <c r="K17" i="1"/>
  <c r="J17" i="1"/>
  <c r="I17" i="1"/>
  <c r="H17" i="1"/>
  <c r="G17" i="1"/>
  <c r="C17" i="1"/>
  <c r="A17" i="1"/>
  <c r="K16" i="1"/>
  <c r="J16" i="1"/>
  <c r="I16" i="1"/>
  <c r="H16" i="1"/>
  <c r="G16" i="1"/>
  <c r="C16" i="1"/>
  <c r="A16" i="1"/>
  <c r="J11" i="1"/>
  <c r="G11" i="1"/>
  <c r="D11" i="1"/>
  <c r="A11" i="1"/>
  <c r="J7" i="1"/>
  <c r="G7" i="1"/>
  <c r="D7" i="1"/>
  <c r="N10" i="30"/>
  <c r="N9" i="30"/>
  <c r="N8" i="30"/>
  <c r="N7" i="30"/>
  <c r="N6" i="30"/>
  <c r="N5" i="30"/>
  <c r="O12" i="29"/>
  <c r="O11" i="29"/>
  <c r="O10" i="29"/>
  <c r="O9" i="29"/>
  <c r="O8" i="29"/>
  <c r="O7" i="29"/>
  <c r="O6" i="29"/>
  <c r="O5" i="29"/>
  <c r="H34" i="28"/>
  <c r="L11" i="28" s="1"/>
  <c r="E33" i="28"/>
  <c r="E34" i="28" s="1"/>
  <c r="H32" i="28"/>
  <c r="E32" i="28"/>
  <c r="F32" i="28" s="1"/>
  <c r="F31" i="28"/>
  <c r="F30" i="28"/>
  <c r="F29" i="28"/>
  <c r="F28" i="28"/>
  <c r="F27" i="28"/>
  <c r="F26" i="28"/>
  <c r="F25" i="28"/>
  <c r="F24" i="28"/>
  <c r="H23" i="28"/>
  <c r="F23" i="28"/>
  <c r="E23" i="28"/>
  <c r="F22" i="28"/>
  <c r="F21" i="28"/>
  <c r="F20" i="28"/>
  <c r="F19" i="28"/>
  <c r="F18" i="28"/>
  <c r="F17" i="28"/>
  <c r="F16" i="28"/>
  <c r="F15" i="28"/>
  <c r="F14" i="28"/>
  <c r="F13" i="28"/>
  <c r="L12" i="28"/>
  <c r="F12" i="28"/>
  <c r="F11" i="28"/>
  <c r="F10" i="28"/>
  <c r="F9" i="28"/>
  <c r="F8" i="28"/>
  <c r="F7" i="28"/>
  <c r="L6" i="28"/>
  <c r="F6" i="28"/>
  <c r="L5" i="28"/>
  <c r="F5" i="28"/>
  <c r="N11" i="27"/>
  <c r="N10" i="27"/>
  <c r="N9" i="27"/>
  <c r="N7" i="27"/>
  <c r="N8" i="27" s="1"/>
  <c r="N6" i="27"/>
  <c r="N5" i="27"/>
  <c r="H13" i="23"/>
  <c r="G13" i="23"/>
  <c r="E13" i="23"/>
  <c r="N12" i="23"/>
  <c r="H12" i="23"/>
  <c r="G12" i="23"/>
  <c r="E12" i="23"/>
  <c r="N11" i="23"/>
  <c r="H11" i="23"/>
  <c r="G11" i="23"/>
  <c r="E11" i="23"/>
  <c r="N10" i="23"/>
  <c r="H10" i="23"/>
  <c r="I124" i="5" s="1"/>
  <c r="G10" i="23"/>
  <c r="E10" i="23"/>
  <c r="H9" i="23"/>
  <c r="G9" i="23"/>
  <c r="E9" i="23"/>
  <c r="H8" i="23"/>
  <c r="G8" i="23"/>
  <c r="E8" i="23"/>
  <c r="N7" i="23"/>
  <c r="H7" i="23"/>
  <c r="N8" i="23" s="1"/>
  <c r="G7" i="23"/>
  <c r="E7" i="23"/>
  <c r="N6" i="23"/>
  <c r="H6" i="23"/>
  <c r="G6" i="23"/>
  <c r="E6" i="23"/>
  <c r="N5" i="23"/>
  <c r="H5" i="23"/>
  <c r="G5" i="23"/>
  <c r="E5" i="23"/>
  <c r="G15" i="22"/>
  <c r="G14" i="22"/>
  <c r="G13" i="22"/>
  <c r="G12" i="22"/>
  <c r="G11" i="22"/>
  <c r="N10" i="22"/>
  <c r="G10" i="22"/>
  <c r="N9" i="22"/>
  <c r="G9" i="22"/>
  <c r="G8" i="22"/>
  <c r="G7" i="22"/>
  <c r="N6" i="22" s="1"/>
  <c r="G6" i="22"/>
  <c r="N5" i="22"/>
  <c r="G5" i="22"/>
  <c r="N8" i="22" s="1"/>
  <c r="U16" i="19"/>
  <c r="U15" i="19"/>
  <c r="U14" i="19"/>
  <c r="U13" i="19"/>
  <c r="U12" i="19"/>
  <c r="U11" i="19"/>
  <c r="U10" i="19"/>
  <c r="U9" i="19"/>
  <c r="U8" i="19"/>
  <c r="U7" i="19"/>
  <c r="U6" i="19"/>
  <c r="U5" i="19"/>
  <c r="Q12" i="18"/>
  <c r="Q11" i="18"/>
  <c r="Q10" i="18"/>
  <c r="Q9" i="18"/>
  <c r="Q8" i="18"/>
  <c r="Q7" i="18"/>
  <c r="Q6" i="18"/>
  <c r="Q5" i="18"/>
  <c r="R10" i="17"/>
  <c r="R9" i="17"/>
  <c r="R8" i="17"/>
  <c r="R7" i="17"/>
  <c r="R6" i="17"/>
  <c r="R5" i="17"/>
  <c r="K17" i="16"/>
  <c r="G17" i="16"/>
  <c r="K16" i="16"/>
  <c r="G16" i="16"/>
  <c r="K15" i="16"/>
  <c r="G79" i="5" s="1"/>
  <c r="G15" i="16"/>
  <c r="R6" i="16" s="1"/>
  <c r="K14" i="16"/>
  <c r="G81" i="5" s="1"/>
  <c r="G14" i="16"/>
  <c r="K13" i="16"/>
  <c r="G13" i="16"/>
  <c r="K12" i="16"/>
  <c r="G12" i="16"/>
  <c r="K11" i="16"/>
  <c r="G11" i="16"/>
  <c r="R10" i="16"/>
  <c r="K10" i="16"/>
  <c r="G10" i="16"/>
  <c r="R9" i="16"/>
  <c r="K9" i="16"/>
  <c r="G9" i="16"/>
  <c r="R8" i="16"/>
  <c r="K8" i="16"/>
  <c r="G8" i="16"/>
  <c r="K7" i="16"/>
  <c r="G7" i="16"/>
  <c r="K6" i="16"/>
  <c r="R11" i="16" s="1"/>
  <c r="G6" i="16"/>
  <c r="R5" i="16"/>
  <c r="K5" i="16"/>
  <c r="G5" i="16"/>
  <c r="J13" i="15"/>
  <c r="N13" i="15" s="1"/>
  <c r="N12" i="15"/>
  <c r="J12" i="15"/>
  <c r="J11" i="15"/>
  <c r="N11" i="15" s="1"/>
  <c r="P10" i="15"/>
  <c r="N10" i="15"/>
  <c r="J10" i="15"/>
  <c r="P9" i="15"/>
  <c r="J9" i="15"/>
  <c r="N9" i="15" s="1"/>
  <c r="J8" i="15"/>
  <c r="N8" i="15" s="1"/>
  <c r="J7" i="15"/>
  <c r="N7" i="15" s="1"/>
  <c r="P6" i="15"/>
  <c r="N6" i="15"/>
  <c r="J6" i="15"/>
  <c r="G26" i="5" s="1"/>
  <c r="P5" i="15"/>
  <c r="J5" i="15"/>
  <c r="N5" i="15" s="1"/>
  <c r="L28" i="14"/>
  <c r="K28" i="14"/>
  <c r="L27" i="14"/>
  <c r="K27" i="14"/>
  <c r="L26" i="14"/>
  <c r="K26" i="14"/>
  <c r="L25" i="14"/>
  <c r="K25" i="14"/>
  <c r="L24" i="14"/>
  <c r="K24" i="14"/>
  <c r="L23" i="14"/>
  <c r="K23" i="14"/>
  <c r="L22" i="14"/>
  <c r="K22" i="14"/>
  <c r="L21" i="14"/>
  <c r="K21" i="14"/>
  <c r="L20" i="14"/>
  <c r="K20" i="14"/>
  <c r="L19" i="14"/>
  <c r="K19" i="14"/>
  <c r="L18" i="14"/>
  <c r="K18" i="14"/>
  <c r="L17" i="14"/>
  <c r="K17" i="14"/>
  <c r="L16" i="14"/>
  <c r="K16" i="14"/>
  <c r="L15" i="14"/>
  <c r="K15" i="14"/>
  <c r="L14" i="14"/>
  <c r="K14" i="14"/>
  <c r="L13" i="14"/>
  <c r="K13" i="14"/>
  <c r="L12" i="14"/>
  <c r="K12" i="14"/>
  <c r="Q11" i="14"/>
  <c r="L11" i="14"/>
  <c r="K11" i="14"/>
  <c r="L10" i="14"/>
  <c r="K10" i="14"/>
  <c r="L9" i="14"/>
  <c r="K9" i="14"/>
  <c r="Q8" i="14"/>
  <c r="L8" i="14"/>
  <c r="D23" i="5" s="1"/>
  <c r="K8" i="14"/>
  <c r="Q7" i="14"/>
  <c r="L7" i="14"/>
  <c r="K7" i="14"/>
  <c r="Q6" i="14"/>
  <c r="L6" i="14"/>
  <c r="K6" i="14"/>
  <c r="Q5" i="14"/>
  <c r="L5" i="14"/>
  <c r="Q9" i="14" s="1"/>
  <c r="K5" i="14"/>
  <c r="AE26" i="9"/>
  <c r="AE25" i="9"/>
  <c r="AE24" i="9"/>
  <c r="AE23" i="9"/>
  <c r="AE22" i="9"/>
  <c r="AE21" i="9"/>
  <c r="AE20" i="9"/>
  <c r="AE19" i="9"/>
  <c r="AE18" i="9"/>
  <c r="AE17" i="9"/>
  <c r="AE16" i="9"/>
  <c r="AE15" i="9"/>
  <c r="AE14" i="9"/>
  <c r="AE13" i="9"/>
  <c r="AE12" i="9"/>
  <c r="AE11" i="9"/>
  <c r="AE10" i="9"/>
  <c r="AE9" i="9"/>
  <c r="AE8" i="9"/>
  <c r="AE7" i="9"/>
  <c r="AE6" i="9"/>
  <c r="AE5" i="9"/>
  <c r="G131" i="5"/>
  <c r="D131" i="5"/>
  <c r="I127" i="5"/>
  <c r="H127" i="5"/>
  <c r="G127" i="5"/>
  <c r="I126" i="5"/>
  <c r="H126" i="5"/>
  <c r="G126" i="5"/>
  <c r="I125" i="5"/>
  <c r="H125" i="5"/>
  <c r="G125" i="5"/>
  <c r="H124" i="5"/>
  <c r="G124" i="5"/>
  <c r="I123" i="5"/>
  <c r="H123" i="5"/>
  <c r="G123" i="5"/>
  <c r="I122" i="5"/>
  <c r="H122" i="5"/>
  <c r="G122" i="5"/>
  <c r="I121" i="5"/>
  <c r="H121" i="5"/>
  <c r="G121" i="5"/>
  <c r="I120" i="5"/>
  <c r="H120" i="5"/>
  <c r="G120" i="5"/>
  <c r="I119" i="5"/>
  <c r="H119" i="5"/>
  <c r="G119" i="5"/>
  <c r="J114" i="5"/>
  <c r="G114" i="5"/>
  <c r="D114" i="5"/>
  <c r="A114" i="5"/>
  <c r="K102" i="5"/>
  <c r="J102" i="5"/>
  <c r="H102" i="5"/>
  <c r="K101" i="5"/>
  <c r="J101" i="5"/>
  <c r="H101" i="5"/>
  <c r="K100" i="5"/>
  <c r="J100" i="5"/>
  <c r="H100" i="5"/>
  <c r="K99" i="5"/>
  <c r="J99" i="5"/>
  <c r="H99" i="5"/>
  <c r="K98" i="5"/>
  <c r="J98" i="5"/>
  <c r="H98" i="5"/>
  <c r="A94" i="5"/>
  <c r="I83" i="5"/>
  <c r="H83" i="5"/>
  <c r="G83" i="5"/>
  <c r="I82" i="5"/>
  <c r="H82" i="5"/>
  <c r="G82" i="5"/>
  <c r="I81" i="5"/>
  <c r="H81" i="5"/>
  <c r="I80" i="5"/>
  <c r="H80" i="5"/>
  <c r="G80" i="5"/>
  <c r="I79" i="5"/>
  <c r="H79" i="5"/>
  <c r="I68" i="5"/>
  <c r="H68" i="5"/>
  <c r="G68" i="5"/>
  <c r="I67" i="5"/>
  <c r="H67" i="5"/>
  <c r="G67" i="5"/>
  <c r="I66" i="5"/>
  <c r="H66" i="5"/>
  <c r="G66" i="5"/>
  <c r="I65" i="5"/>
  <c r="H65" i="5"/>
  <c r="G65" i="5"/>
  <c r="I64" i="5"/>
  <c r="H64" i="5"/>
  <c r="G64" i="5"/>
  <c r="I63" i="5"/>
  <c r="H63" i="5"/>
  <c r="G63" i="5"/>
  <c r="H62" i="5"/>
  <c r="G62" i="5"/>
  <c r="I61" i="5"/>
  <c r="H61" i="5"/>
  <c r="G61" i="5"/>
  <c r="I60" i="5"/>
  <c r="H60" i="5"/>
  <c r="G60" i="5"/>
  <c r="K56" i="5"/>
  <c r="J56" i="5"/>
  <c r="H56" i="5"/>
  <c r="K55" i="5"/>
  <c r="J55" i="5"/>
  <c r="H55" i="5"/>
  <c r="K54" i="5"/>
  <c r="J54" i="5"/>
  <c r="H54" i="5"/>
  <c r="K53" i="5"/>
  <c r="J53" i="5"/>
  <c r="H53" i="5"/>
  <c r="K52" i="5"/>
  <c r="J52" i="5"/>
  <c r="H52" i="5"/>
  <c r="K51" i="5"/>
  <c r="J51" i="5"/>
  <c r="H51" i="5"/>
  <c r="K50" i="5"/>
  <c r="J50" i="5"/>
  <c r="H50" i="5"/>
  <c r="K49" i="5"/>
  <c r="J49" i="5"/>
  <c r="H49" i="5"/>
  <c r="K48" i="5"/>
  <c r="J48" i="5"/>
  <c r="H48" i="5"/>
  <c r="K47" i="5"/>
  <c r="J47" i="5"/>
  <c r="H47" i="5"/>
  <c r="H43" i="5"/>
  <c r="G43" i="5"/>
  <c r="F43" i="5"/>
  <c r="H42" i="5"/>
  <c r="G42" i="5"/>
  <c r="F42" i="5"/>
  <c r="H41" i="5"/>
  <c r="G41" i="5"/>
  <c r="H40" i="5"/>
  <c r="G40" i="5"/>
  <c r="F40" i="5"/>
  <c r="H39" i="5"/>
  <c r="G39" i="5"/>
  <c r="J34" i="5"/>
  <c r="G34" i="5"/>
  <c r="D34" i="5"/>
  <c r="A34" i="5"/>
  <c r="J31" i="5"/>
  <c r="A31" i="5"/>
  <c r="J26" i="5"/>
  <c r="A26" i="5"/>
  <c r="J23" i="5"/>
  <c r="G23" i="5"/>
  <c r="A23" i="5"/>
  <c r="J18" i="5"/>
  <c r="G18" i="5"/>
  <c r="D18" i="5"/>
  <c r="A18" i="5"/>
  <c r="J15" i="5"/>
  <c r="G15" i="5"/>
  <c r="D15" i="5"/>
  <c r="A15" i="5"/>
  <c r="J10" i="5"/>
  <c r="G10" i="5"/>
  <c r="D10" i="5"/>
  <c r="A10" i="5"/>
  <c r="J7" i="5"/>
  <c r="G7" i="5"/>
  <c r="D7" i="5"/>
  <c r="A7" i="5"/>
  <c r="G62" i="4" l="1"/>
  <c r="D26" i="5"/>
  <c r="L9" i="28"/>
  <c r="G132" i="5"/>
  <c r="F34" i="28"/>
  <c r="L8" i="28"/>
  <c r="D132" i="5"/>
  <c r="D31" i="5"/>
  <c r="A131" i="5"/>
  <c r="L10" i="28"/>
  <c r="P8" i="15"/>
  <c r="R12" i="16"/>
  <c r="N12" i="27"/>
  <c r="Q10" i="14"/>
  <c r="I62" i="5"/>
  <c r="J131" i="5"/>
  <c r="N9" i="23"/>
  <c r="G31" i="5"/>
  <c r="F41" i="5"/>
  <c r="Q12" i="14"/>
  <c r="N7" i="22"/>
  <c r="L7" i="28"/>
  <c r="F33" i="28"/>
  <c r="P7" i="15"/>
  <c r="R7" i="16"/>
  <c r="F39" i="5"/>
</calcChain>
</file>

<file path=xl/sharedStrings.xml><?xml version="1.0" encoding="utf-8"?>
<sst xmlns="http://schemas.openxmlformats.org/spreadsheetml/2006/main" count="8153" uniqueCount="4370">
  <si>
    <t>Board Pack Notes - Q1 2026</t>
  </si>
  <si>
    <t>Concise companion to the Board Dashboard. Threshold definitions, board metric interpretation notes, decisions required this quarter and narrative on major changes since last review. Owner AI Security Manager.</t>
  </si>
  <si>
    <t>Board Dashboard</t>
  </si>
  <si>
    <t>Operational Dashboard</t>
  </si>
  <si>
    <t>Executive Report</t>
  </si>
  <si>
    <t>ID Glossary</t>
  </si>
  <si>
    <t>ISO 42001 Matrix</t>
  </si>
  <si>
    <t>Evidence Register</t>
  </si>
  <si>
    <t>Mgmt Review</t>
  </si>
  <si>
    <t>TOM and Strategy</t>
  </si>
  <si>
    <t>1. Board Metric Interpretation Notes</t>
  </si>
  <si>
    <t>Metric</t>
  </si>
  <si>
    <t>What it Tells the Board</t>
  </si>
  <si>
    <t>How it is Calculated</t>
  </si>
  <si>
    <t>Why it Matters</t>
  </si>
  <si>
    <t>Source Sheet</t>
  </si>
  <si>
    <t>Cadence</t>
  </si>
  <si>
    <t>Owner</t>
  </si>
  <si>
    <t>ISO 42001 Audit Readiness</t>
  </si>
  <si>
    <t>Average readiness across 38 ISO 42001 clauses and Annex A controls</t>
  </si>
  <si>
    <t>Average of readiness score 0-3 divided by 3 across 38 items</t>
  </si>
  <si>
    <t>Indicates how prepared the AIMS would be for an external 42001 assessment</t>
  </si>
  <si>
    <t>ISO 42001 Audit Readiness Matrix</t>
  </si>
  <si>
    <t>Quarterly</t>
  </si>
  <si>
    <t>Sarah Mitchell</t>
  </si>
  <si>
    <t>Maturity vs Target</t>
  </si>
  <si>
    <t>Composite maturity score expressed as percent of target</t>
  </si>
  <si>
    <t>Sum of current scores divided by sum of target scores across 9 domains</t>
  </si>
  <si>
    <t>Tracks progress toward target maturity 4.22 of 5</t>
  </si>
  <si>
    <t>Maturity Assessment</t>
  </si>
  <si>
    <t>Half-yearly</t>
  </si>
  <si>
    <t>AI Security Manager</t>
  </si>
  <si>
    <t>Total Residual Exposure</t>
  </si>
  <si>
    <t>Sum of quantified residual exposure across all AI risks</t>
  </si>
  <si>
    <t>SUM of column L on Risk Quantification</t>
  </si>
  <si>
    <t>Headline financial exposure metric for risk appetite</t>
  </si>
  <si>
    <t>Risk Quantification</t>
  </si>
  <si>
    <t>Geoffrey Sanders</t>
  </si>
  <si>
    <t>High Critical Residual Risks</t>
  </si>
  <si>
    <t>Number of risks with residual score 15 or higher</t>
  </si>
  <si>
    <t>COUNTIF residual score greater than or equal to 15 (out of max 25)</t>
  </si>
  <si>
    <t>Identifies risks above board appetite for residual harm</t>
  </si>
  <si>
    <t>Monthly</t>
  </si>
  <si>
    <t>Major NC Risks Open</t>
  </si>
  <si>
    <t>Number of audit readiness items where absence is a potential major nonconformity</t>
  </si>
  <si>
    <t>COUNTIF on Potential NC column starts with Major</t>
  </si>
  <si>
    <t>Indicates audit-blocking gaps that need closure before assessment</t>
  </si>
  <si>
    <t>KRI Breaches Red and Amber</t>
  </si>
  <si>
    <t>Forward-looking risk indicators above amber threshold</t>
  </si>
  <si>
    <t>COUNTIF KRI status equals Red or Amber</t>
  </si>
  <si>
    <t>Early warning signal for emerging risk concentrations</t>
  </si>
  <si>
    <t>KRI Tracking</t>
  </si>
  <si>
    <t>Open and High Severity Incidents</t>
  </si>
  <si>
    <t>Sev 1/2 incidents in rolling 90 days plus open or under-review incidents</t>
  </si>
  <si>
    <t>COUNTIF on severity Sev 1 plus Sev 2 plus Open</t>
  </si>
  <si>
    <t>Operational AI risk crystallisation indicator</t>
  </si>
  <si>
    <t>Incident Analysis</t>
  </si>
  <si>
    <t>Continuous</t>
  </si>
  <si>
    <t>Overdue Corrective Actions</t>
  </si>
  <si>
    <t>Open corrective actions past target close date</t>
  </si>
  <si>
    <t>SUMPRODUCT on status not Closed and target date in past</t>
  </si>
  <si>
    <t>Indicates remediation discipline and audit-readiness risk</t>
  </si>
  <si>
    <t>Management Review and Internal Audit Tracker</t>
  </si>
  <si>
    <t>Tier-1 Control Coverage</t>
  </si>
  <si>
    <t>Number of Tier-1 use cases with each material control linked</t>
  </si>
  <si>
    <t>SUMPRODUCT counting Tier-1 use cases linked to specific control IDs</t>
  </si>
  <si>
    <t>Indicates control depth on critical AI use cases</t>
  </si>
  <si>
    <t>AI Use Case Register</t>
  </si>
  <si>
    <t>Mohammed Iqbal</t>
  </si>
  <si>
    <t>Evidence Currency Pct</t>
  </si>
  <si>
    <t>Percent of evidence items with current next-review date</t>
  </si>
  <si>
    <t>COUNTIF evidence currency Current divided by total</t>
  </si>
  <si>
    <t>Indicator of audit-readiness of evidence library</t>
  </si>
  <si>
    <t>2. Threshold and RAG Rule Definitions</t>
  </si>
  <si>
    <t>Indicator</t>
  </si>
  <si>
    <t>Green</t>
  </si>
  <si>
    <t>Amber</t>
  </si>
  <si>
    <t>Red</t>
  </si>
  <si>
    <t>Notes</t>
  </si>
  <si>
    <t>Source</t>
  </si>
  <si>
    <t>ISO 42001 Audit Readiness pct</t>
  </si>
  <si>
    <t>85 percent or higher</t>
  </si>
  <si>
    <t>70 to 85 percent</t>
  </si>
  <si>
    <t>Below 70 percent</t>
  </si>
  <si>
    <t>Composite of 38 items each 0-3 score</t>
  </si>
  <si>
    <t>Maturity vs Target pct</t>
  </si>
  <si>
    <t>Sum of current divided by sum of target across 9 domains</t>
  </si>
  <si>
    <t>Zero</t>
  </si>
  <si>
    <t>1 to 5</t>
  </si>
  <si>
    <t>More than 5</t>
  </si>
  <si>
    <t>Items where absence is a major NC risk</t>
  </si>
  <si>
    <t>More than 1</t>
  </si>
  <si>
    <t>Residual score greater than or equal to 15</t>
  </si>
  <si>
    <t>1 to 2</t>
  </si>
  <si>
    <t>More than 2</t>
  </si>
  <si>
    <t>KRI breach status either Red or Amber</t>
  </si>
  <si>
    <t>Open Incidents</t>
  </si>
  <si>
    <t>Open or Under Review status</t>
  </si>
  <si>
    <t>Open or In Progress with target date in past</t>
  </si>
  <si>
    <t>Maturity Score 1-5</t>
  </si>
  <si>
    <t>4 or 5 (Managed or Optimised)</t>
  </si>
  <si>
    <t>3 (Defined)</t>
  </si>
  <si>
    <t>1 or 2 (Initial or Developing)</t>
  </si>
  <si>
    <t>Per-domain maturity rating</t>
  </si>
  <si>
    <t>Vendor Residual</t>
  </si>
  <si>
    <t>Green - all assurance current</t>
  </si>
  <si>
    <t>Amber - one or more assurance items pending</t>
  </si>
  <si>
    <t>Red - material assurance gap</t>
  </si>
  <si>
    <t>Per-vendor residual posture</t>
  </si>
  <si>
    <t>Third-Party Risk Services</t>
  </si>
  <si>
    <t>Days to Target on Corrective Actions</t>
  </si>
  <si>
    <t>Greater than 30 days</t>
  </si>
  <si>
    <t>0 to 30 days</t>
  </si>
  <si>
    <t>Negative (overdue)</t>
  </si>
  <si>
    <t>Days to target close date</t>
  </si>
  <si>
    <t>3. Decisions Required This Quarter</t>
  </si>
  <si>
    <t>Decision ID</t>
  </si>
  <si>
    <t>Decision</t>
  </si>
  <si>
    <t>Recommendation</t>
  </si>
  <si>
    <t>Forum</t>
  </si>
  <si>
    <t>Decision By</t>
  </si>
  <si>
    <t>Linked Item</t>
  </si>
  <si>
    <t>DEC-Q1-01</t>
  </si>
  <si>
    <t>Approve closure plan for 4 major-NC-risk areas (CA-009, CA-010, CA-011, CA-014)</t>
  </si>
  <si>
    <t>Approve and resource the closure plan ahead of internal readiness review</t>
  </si>
  <si>
    <t>AI Governance Forum</t>
  </si>
  <si>
    <t>30/06/2026</t>
  </si>
  <si>
    <t>Mgmt Review tracker Section 3</t>
  </si>
  <si>
    <t>DEC-Q1-02</t>
  </si>
  <si>
    <t>Approve Tier-1 vendor exit plans (VEN-001 Microsoft, VEN-006 Sentinel)</t>
  </si>
  <si>
    <t>Approve documented substitutability assessments and exit plans</t>
  </si>
  <si>
    <t>Third-Party Oversight Forum</t>
  </si>
  <si>
    <t>30/09/2026</t>
  </si>
  <si>
    <t>DEC-Q1-03</t>
  </si>
  <si>
    <t>Approve net hire of 5 FTE to close resource gap</t>
  </si>
  <si>
    <t>Approve hiring in line with FY26/27 plan</t>
  </si>
  <si>
    <t>ExCo</t>
  </si>
  <si>
    <t>Resource Planning</t>
  </si>
  <si>
    <t>DEC-Q1-04</t>
  </si>
  <si>
    <t>Reset risk appetite for residual AI risk pending refreshed quantification (RDM-012)</t>
  </si>
  <si>
    <t>Reaffirm appetite; commit to scenario-range refresh</t>
  </si>
  <si>
    <t>Risk Committee Board</t>
  </si>
  <si>
    <t>DEC-Q1-05</t>
  </si>
  <si>
    <t>Approve ISO 42001 readiness review pack and certification path</t>
  </si>
  <si>
    <t>Approve subject to AUDIT-006 outcome</t>
  </si>
  <si>
    <t>ExCo / Risk Committee</t>
  </si>
  <si>
    <t>31/01/2027</t>
  </si>
  <si>
    <t>DEC-Q1-06</t>
  </si>
  <si>
    <t>Approve Salesforce Einstein-feature posture</t>
  </si>
  <si>
    <t>Maintain restricted posture pending vendor AI feature review</t>
  </si>
  <si>
    <t>Olivia Bennett</t>
  </si>
  <si>
    <t>AI Use Case Register AUC-004</t>
  </si>
  <si>
    <t>4. Narrative on Major Changes Since Last Review (Q4 2025 to Q1 2026)</t>
  </si>
  <si>
    <t>Theme</t>
  </si>
  <si>
    <t>What Changed</t>
  </si>
  <si>
    <t>So What for the Board</t>
  </si>
  <si>
    <t>Linked IDs</t>
  </si>
  <si>
    <t>ISO 42001 Readiness</t>
  </si>
  <si>
    <t>Internal readiness programme RDM-007 lifted to 50 percent complete; AIMS scope statement and AI policy approved; first internal audit AUDIT-001 closed</t>
  </si>
  <si>
    <t>Credible glide-path to internal readiness review Q4 2026 and certification readiness assessment Q1 2027</t>
  </si>
  <si>
    <t>RDM-007; AUDIT-001; EVD-023; EVD-024</t>
  </si>
  <si>
    <t>Customer-Facing AI</t>
  </si>
  <si>
    <t>Hallucination filter retuned post INC-008; PIR-008 closed; sample QA increased; vendor change-window controls being aligned with QA windows</t>
  </si>
  <si>
    <t>Operational risk on customer-facing GenAI demonstrably reduced; CTL-007 and CTL-010 strengthened</t>
  </si>
  <si>
    <t>INC-008; CA-008; CTL-007; CTL-010</t>
  </si>
  <si>
    <t>Third-Party Posture</t>
  </si>
  <si>
    <t>Tier-1 vendor due diligence currency at 94 percent against 100 target; two Tier-1 exit plans documented with remainder in flight; ABBYY privacy review in progress</t>
  </si>
  <si>
    <t>Concentration risk on Microsoft platform remains the largest substitutability concern; CA-011 closure expected Sep 2026</t>
  </si>
  <si>
    <t>VEN-001; VEN-006; CA-008; CA-011</t>
  </si>
  <si>
    <t>Cyber and Cloud</t>
  </si>
  <si>
    <t>Splunk to Sentinel migration RDM-010 lifted to 60 percent complete; PAM bundles re-baselined post INC-007; Copilot for Security expanded across Azure subscriptions</t>
  </si>
  <si>
    <t>Detection capability on AI workloads improving; dual-running cost retires Q4 2026</t>
  </si>
  <si>
    <t>RDM-010; INC-007; CA-007; CTL-013</t>
  </si>
  <si>
    <t>Karen Holloway</t>
  </si>
  <si>
    <t>Total residual exposure 53.7m unchanged this quarter; RDM-012 scenario-range modelling refresh scheduled for H2</t>
  </si>
  <si>
    <t>Risk appetite reset will be informed by RDM-012 outputs; expect refreshed quantification at Q3 review</t>
  </si>
  <si>
    <t>RDM-012; RSK-001 to RSK-013</t>
  </si>
  <si>
    <t>Workforce and Competence</t>
  </si>
  <si>
    <t>AI awareness training completion 86 percent against 95 target; targeted campaign CA-014 in progress; 5 FTE vacancies in flight</t>
  </si>
  <si>
    <t>Closes Clauses 7.2-7.3 ISO 42001 gap and addresses CTL-016 partial implementation</t>
  </si>
  <si>
    <t>CA-014; CTL-016; RES-002 to RES-008</t>
  </si>
  <si>
    <t>Daniel O'Reilly</t>
  </si>
  <si>
    <t>Footer note: This Board Pack Notes sheet is the companion to the Board Dashboard. RAG thresholds defined in Section 2 are applied via conditional formatting on the Board Dashboard. Refer to ID Glossary for full ID definitions and Evidence Register for audit evidence detail.</t>
  </si>
  <si>
    <t>Management Review and Internal Audit Tracker - AIMS Effectiveness Evidence</t>
  </si>
  <si>
    <t>Back to Dashboard</t>
  </si>
  <si>
    <t>Open ID Glossary</t>
  </si>
  <si>
    <t>AI Security Manager Executive Dashboard V2 - Mid-Sized UK Insurer</t>
  </si>
  <si>
    <t>Formula-driven control tower for AI governance, risk, security, services, incidents, audit readiness, evidence, vendor assurance, roadmap and budget. Owner AI Security Manager. As at 02/05/2026.</t>
  </si>
  <si>
    <t>Open TOM Index for navigation</t>
  </si>
  <si>
    <t>1. Headline Posture</t>
  </si>
  <si>
    <t>Active AI Use Cases</t>
  </si>
  <si>
    <t>Tier 1 Critical Use Cases</t>
  </si>
  <si>
    <t>Maturity Score Pct of Target</t>
  </si>
  <si>
    <t>Approved use cases in production</t>
  </si>
  <si>
    <t>Tier 1 critical AI use cases</t>
  </si>
  <si>
    <t>Average readiness vs max 3 across 38 clauses + Annex A</t>
  </si>
  <si>
    <t>Composite of 9 maturity domains vs target</t>
  </si>
  <si>
    <t>High or Critical Residual Risks</t>
  </si>
  <si>
    <t>KRI Breaches Red</t>
  </si>
  <si>
    <t>Quantified Residual Exposure</t>
  </si>
  <si>
    <t>Residual score 15 or higher (max 25)</t>
  </si>
  <si>
    <t>KRIs above red threshold</t>
  </si>
  <si>
    <t>Open or under review (rolling 90d)</t>
  </si>
  <si>
    <t>Total residual exposure across 13 risks</t>
  </si>
  <si>
    <t>2. ISO/IEC 42001 Audit Readiness</t>
  </si>
  <si>
    <t>Clauses Audit Ready</t>
  </si>
  <si>
    <t>Clauses Major NC Risk</t>
  </si>
  <si>
    <t>Evidence Items Stale</t>
  </si>
  <si>
    <t>Evidence Items Due Soon</t>
  </si>
  <si>
    <t>Score of 3 (Audit Ready) out of 38 items</t>
  </si>
  <si>
    <t>Items where absence is potential major nonconformity</t>
  </si>
  <si>
    <t>Evidence past next-review date</t>
  </si>
  <si>
    <t>Evidence due in next 30 days</t>
  </si>
  <si>
    <t>Controls Implemented</t>
  </si>
  <si>
    <t>Controls Partial</t>
  </si>
  <si>
    <t>Controls with Open Gap</t>
  </si>
  <si>
    <t>Controls Lacking Evidence</t>
  </si>
  <si>
    <t>Out of 16 controls in scope</t>
  </si>
  <si>
    <t>Controls with open implementation gaps</t>
  </si>
  <si>
    <t>Controls with documented residual gap</t>
  </si>
  <si>
    <t>Controls with no linked evidence ID</t>
  </si>
  <si>
    <t>3. Service Delivery, Incidents and Vendor Assurance</t>
  </si>
  <si>
    <t>Open Service Requests</t>
  </si>
  <si>
    <t>SLA Met Rate</t>
  </si>
  <si>
    <t>Tier 1 Vendor DD Currency</t>
  </si>
  <si>
    <t>Vendor Reviews Overdue</t>
  </si>
  <si>
    <t>Open or in flight requests</t>
  </si>
  <si>
    <t>Pct of closed requests within SLA</t>
  </si>
  <si>
    <t>Pct of vendors with current due diligence</t>
  </si>
  <si>
    <t>Vendors with contract renewal date in past</t>
  </si>
  <si>
    <t>Sev 1 or 2 Incidents (90d)</t>
  </si>
  <si>
    <t>Avg Days to Close Request</t>
  </si>
  <si>
    <t>KRI Amber</t>
  </si>
  <si>
    <t>Sev 1 and Sev 2 in rolling 90 days</t>
  </si>
  <si>
    <t>Mean ageing of closed requests (days)</t>
  </si>
  <si>
    <t>KRIs in amber zone</t>
  </si>
  <si>
    <t>Evidence items current vs total</t>
  </si>
  <si>
    <t>4. Roadmap, Budget and People</t>
  </si>
  <si>
    <t>Roadmap Avg Pct Complete</t>
  </si>
  <si>
    <t>Total FY 26 27 Budget</t>
  </si>
  <si>
    <t>Budget Variance</t>
  </si>
  <si>
    <t>FTE Gap Vacancies</t>
  </si>
  <si>
    <t>Weighted across 12 roadmap items</t>
  </si>
  <si>
    <t>Run plus Change plus Contingency</t>
  </si>
  <si>
    <t>Negative equals favourable underspend</t>
  </si>
  <si>
    <t>Open vacancies vs target</t>
  </si>
  <si>
    <t>Roadmap Items On Track</t>
  </si>
  <si>
    <t>Roadmap Items At Risk</t>
  </si>
  <si>
    <t>Open Corrective Actions</t>
  </si>
  <si>
    <t>On Track or In Progress workstreams</t>
  </si>
  <si>
    <t>Delayed or Not Started workstreams</t>
  </si>
  <si>
    <t>Open or In Progress corrective actions</t>
  </si>
  <si>
    <t>Open actions past target date</t>
  </si>
  <si>
    <t>5. Top 5 Residual Risks (by Quantified Exposure)</t>
  </si>
  <si>
    <t>Risk ID</t>
  </si>
  <si>
    <t>Risk Title</t>
  </si>
  <si>
    <t>Residual Score</t>
  </si>
  <si>
    <t>Exposure</t>
  </si>
  <si>
    <t>Treatment</t>
  </si>
  <si>
    <t>RSK-011</t>
  </si>
  <si>
    <t>Regulatory breach (Consumer Duty / fairness / FCA)</t>
  </si>
  <si>
    <t>Mitigate</t>
  </si>
  <si>
    <t>Rebecca Lloyd</t>
  </si>
  <si>
    <t>RSK-001</t>
  </si>
  <si>
    <t>Model performance drift causing pricing/UW losses</t>
  </si>
  <si>
    <t>RSK-010</t>
  </si>
  <si>
    <t>Cloud misconfiguration exposing AI workloads</t>
  </si>
  <si>
    <t>RSK-004</t>
  </si>
  <si>
    <t>Pricing or fairness bias against protected groups</t>
  </si>
  <si>
    <t>Helen Carter</t>
  </si>
  <si>
    <t>RSK-005</t>
  </si>
  <si>
    <t>LLM hallucination delivered to customer</t>
  </si>
  <si>
    <t>6. Top 10 Remediation Actions (overdue first, then due soon)</t>
  </si>
  <si>
    <t>Action ID</t>
  </si>
  <si>
    <t>Action</t>
  </si>
  <si>
    <t>Target Date</t>
  </si>
  <si>
    <t>Days to Target</t>
  </si>
  <si>
    <t>Status</t>
  </si>
  <si>
    <t>CA-010</t>
  </si>
  <si>
    <t>Complete impact assessments for customer-facing AI use cases</t>
  </si>
  <si>
    <t>CA-011</t>
  </si>
  <si>
    <t>Documented exit plans for remaining Tier-1 AI vendors (VEN-001, VEN-006)</t>
  </si>
  <si>
    <t>CA-009</t>
  </si>
  <si>
    <t>Strengthen 9.3 management review input checklist</t>
  </si>
  <si>
    <t>Andrew Pollard</t>
  </si>
  <si>
    <t>CA-012</t>
  </si>
  <si>
    <t>Accelerate Tier-1 vendor DD currency to 100 percent</t>
  </si>
  <si>
    <t>CA-014</t>
  </si>
  <si>
    <t>Push training campaign to lift completion to 95 percent</t>
  </si>
  <si>
    <t>CA-013</t>
  </si>
  <si>
    <t>Targeted training to top-3 BUs with elevated DLP exceptions</t>
  </si>
  <si>
    <t>CA-001</t>
  </si>
  <si>
    <t>Add seasonality features to FNOL training set; tighten drift thresholds</t>
  </si>
  <si>
    <t>CA-008</t>
  </si>
  <si>
    <t>Hallucination filter re-tune; vendor change-window QA alignment</t>
  </si>
  <si>
    <t>CA-004</t>
  </si>
  <si>
    <t>Sensitivity-label review cycle; Purview policy refresh</t>
  </si>
  <si>
    <t>CA-005</t>
  </si>
  <si>
    <t>Vendor SLA exceptions; resilience plan updated for tabletop scenario</t>
  </si>
  <si>
    <t>James Whitfield</t>
  </si>
  <si>
    <t>7. Maturity by Domain (1 Initial to 5 Optimised)</t>
  </si>
  <si>
    <t>Domain</t>
  </si>
  <si>
    <t>Current</t>
  </si>
  <si>
    <t>Target</t>
  </si>
  <si>
    <t>Gap</t>
  </si>
  <si>
    <t>Governance (MAT-01)</t>
  </si>
  <si>
    <t>Risk Management (MAT-02)</t>
  </si>
  <si>
    <t>Security Controls (MAT-03)</t>
  </si>
  <si>
    <t>Privacy and Data Handling (MAT-04)</t>
  </si>
  <si>
    <t>Monitoring and Assurance (MAT-05)</t>
  </si>
  <si>
    <t>Third-Party Oversight (MAT-06)</t>
  </si>
  <si>
    <t>Lifecycle Management (MAT-07)</t>
  </si>
  <si>
    <t>Resilience and Continuity (MAT-08)</t>
  </si>
  <si>
    <t>Yvonne Mathieson</t>
  </si>
  <si>
    <t>Evidence and Documentation (MAT-09)</t>
  </si>
  <si>
    <t>8. Management Commentary (Q1 2026)</t>
  </si>
  <si>
    <t>ISO/IEC 42001 readiness is on a credible glide-path with 3 of 38 clauses Audit Ready (score 3) and 24 Ready with minor gaps (score 2). The function is on track for an internal readiness review by Q4 2026 (RDM-007). Leadership focus this quarter is on closing four major-risk areas before audit - customer-facing impact assessments (CA-010), Tier-1 vendor exit plans (CA-011), AIMS management review input checklist (CA-009), and AI awareness training completion (CA-014). The risk register stands at 53.7m total residual exposure, with regulatory breach (RSK-011 7.5m) and cloud misconfiguration (RSK-010 6.0m) the dominant exposures. KRI posture is Green-Amber - two amber breaches (DLP exceptions, cloud config drift) under remediation; no red breaches. Q1 budget is favourable through vacancy underspend; Phase 1 of the roadmap is at 50 percent complete.</t>
  </si>
  <si>
    <t>9. Quick Navigation</t>
  </si>
  <si>
    <t>Use Cases</t>
  </si>
  <si>
    <t>Risks</t>
  </si>
  <si>
    <t>KRIs</t>
  </si>
  <si>
    <t>KPIs</t>
  </si>
  <si>
    <t>Compliance V2</t>
  </si>
  <si>
    <t>Evidence</t>
  </si>
  <si>
    <t>Roadmap</t>
  </si>
  <si>
    <t>Vendors</t>
  </si>
  <si>
    <t>Finance</t>
  </si>
  <si>
    <t>TOM Index</t>
  </si>
  <si>
    <t>10. Top 5 Board Risks (Residual Score and Exposure)</t>
  </si>
  <si>
    <t>11. Critical AI Use Cases Requiring Attention</t>
  </si>
  <si>
    <t>Use Case ID</t>
  </si>
  <si>
    <t>Use Case</t>
  </si>
  <si>
    <t>Tier</t>
  </si>
  <si>
    <t>Approval Status</t>
  </si>
  <si>
    <t>Reason for Attention</t>
  </si>
  <si>
    <t>AUC-007</t>
  </si>
  <si>
    <t>MI / Reporting Assistant - Finance</t>
  </si>
  <si>
    <t>Tier 2</t>
  </si>
  <si>
    <t>Conditionally Approved</t>
  </si>
  <si>
    <t>Conditional approval extension; output validation strengthening required</t>
  </si>
  <si>
    <t>AUC-016</t>
  </si>
  <si>
    <t>HR CV Screening Pilot</t>
  </si>
  <si>
    <t>Quarterly bias review required; pilot scope under review</t>
  </si>
  <si>
    <t>AUC-004</t>
  </si>
  <si>
    <t>Customer Service Copilot - Voice Agent Assist</t>
  </si>
  <si>
    <t>Tier 1</t>
  </si>
  <si>
    <t>Approved</t>
  </si>
  <si>
    <t>Hallucination filter retune live (PIR-003 closed); ongoing sample QA</t>
  </si>
  <si>
    <t>AUC-013</t>
  </si>
  <si>
    <t>Smart Search - Policy Wordings (Customer Portal)</t>
  </si>
  <si>
    <t>INC-008 closed; vendor change-window controls being aligned</t>
  </si>
  <si>
    <t>AUC-011</t>
  </si>
  <si>
    <t>Vulnerable Customer Detection - Service Calls</t>
  </si>
  <si>
    <t>Consumer Duty quarterly review live; specialist routing performance trending</t>
  </si>
  <si>
    <t>12. Open High-Severity Incidents (rolling 90 days)</t>
  </si>
  <si>
    <t>13. Overdue Remediation Actions</t>
  </si>
  <si>
    <t>Customer-facing AI impact assessments refresh</t>
  </si>
  <si>
    <t>Tier-1 vendor exit plans (VEN-001, VEN-006)</t>
  </si>
  <si>
    <t>Lift training completion to 95 percent</t>
  </si>
  <si>
    <t>14. Third-Party AI Risk Hotspots</t>
  </si>
  <si>
    <t>Vendor ID</t>
  </si>
  <si>
    <t>Supplier</t>
  </si>
  <si>
    <t>Residual</t>
  </si>
  <si>
    <t>Action Required</t>
  </si>
  <si>
    <t>VEN-001</t>
  </si>
  <si>
    <t>Microsoft Azure OpenAI / M365 Copilot</t>
  </si>
  <si>
    <t>Quarterly subprocessor review; refresh DPIA after RDM-002</t>
  </si>
  <si>
    <t>VEN-003</t>
  </si>
  <si>
    <t>ABBYY (Document AI)</t>
  </si>
  <si>
    <t>Complete privacy review by 30/06/2026 (CA-002)</t>
  </si>
  <si>
    <t>VEN-007</t>
  </si>
  <si>
    <t>Tractable (Computer Vision)</t>
  </si>
  <si>
    <t>Complete security review refresh (CA-005)</t>
  </si>
  <si>
    <t>VEN-013</t>
  </si>
  <si>
    <t>Persistent Systems (MLOps Augmentation)</t>
  </si>
  <si>
    <t>Refresh AI-specific contract clauses; finalise renewal (CA-008)</t>
  </si>
  <si>
    <t>VEN-015</t>
  </si>
  <si>
    <t>Splunk (Transitional SIEM)</t>
  </si>
  <si>
    <t>Complete migration to Sentinel by Q4 2026 (RDM-010)</t>
  </si>
  <si>
    <t>15. Tier-1 AI Use Case Control Coverage</t>
  </si>
  <si>
    <t>Tier-1 Use Cases (count)</t>
  </si>
  <si>
    <t>With Monitoring (CTL-005)</t>
  </si>
  <si>
    <t>With HITL (CTL-008)</t>
  </si>
  <si>
    <t>With Independent Bias Test (CTL-014)</t>
  </si>
  <si>
    <t>Critical AI use cases in scope</t>
  </si>
  <si>
    <t>Tier-1 with production monitoring</t>
  </si>
  <si>
    <t>Tier-1 with HITL gate</t>
  </si>
  <si>
    <t>Tier-1 with independent bias test</t>
  </si>
  <si>
    <t>16. Maturity by Domain (Board View)</t>
  </si>
  <si>
    <t>Privacy and Data (MAT-04)</t>
  </si>
  <si>
    <t>17. Budget Run vs Change (FY 2026/27)</t>
  </si>
  <si>
    <t>Total Budget</t>
  </si>
  <si>
    <t>Run</t>
  </si>
  <si>
    <t>Change</t>
  </si>
  <si>
    <t>Contingency</t>
  </si>
  <si>
    <t>Run + Change + Contingency</t>
  </si>
  <si>
    <t>5 percent of Run + Change</t>
  </si>
  <si>
    <t>18. Key Decisions Required This Quarter</t>
  </si>
  <si>
    <t>Owner / Target Date</t>
  </si>
  <si>
    <t>Sarah Mitchell - 30/06/2026</t>
  </si>
  <si>
    <t>Approve Salesforce Einstein-feature posture (maintain restricted)</t>
  </si>
  <si>
    <t>Olivia Bennett - 30/06/2026</t>
  </si>
  <si>
    <t>Approve Tier-1 vendor exit plans (VEN-001, VEN-006)</t>
  </si>
  <si>
    <t>Sarah Mitchell - 30/09/2026</t>
  </si>
  <si>
    <t>Reset risk appetite for residual AI risk (RDM-012)</t>
  </si>
  <si>
    <t>Risk Committee (Board)</t>
  </si>
  <si>
    <t>Geoffrey Sanders - 30/09/2026</t>
  </si>
  <si>
    <t>Approve ISO 42001 internal readiness review pack and certification path</t>
  </si>
  <si>
    <t>Sarah Mitchell - 31/01/2027</t>
  </si>
  <si>
    <t>19. Emerging Issues and Horizon Risks</t>
  </si>
  <si>
    <t>Description</t>
  </si>
  <si>
    <t>Owner / Forum</t>
  </si>
  <si>
    <t>EU AI Act extraterritorial reach</t>
  </si>
  <si>
    <t>Phased application of EU AI Act may impact UK-domiciled insurer through cross-border operations and EU vendor obligations</t>
  </si>
  <si>
    <t>Rebecca Lloyd / AIGF</t>
  </si>
  <si>
    <t>Generative AI vendor concentration</t>
  </si>
  <si>
    <t>Microsoft platform concentration across LLM, copilots and SIEM creates substitutability and operational resilience risk (PRA SS2/21)</t>
  </si>
  <si>
    <t>Sarah Mitchell / TPRO Forum</t>
  </si>
  <si>
    <t>Agentic AI emergence</t>
  </si>
  <si>
    <t>Multi-step autonomous AI agents may circumvent existing HITL controls; intake gateway being refreshed to detect agentic patterns</t>
  </si>
  <si>
    <t>Daniel O'Reilly / AIGF</t>
  </si>
  <si>
    <t>AI-specific cyber threats</t>
  </si>
  <si>
    <t>Prompt injection, model evasion and training data poisoning are emerging threats; SOC playbooks being expanded under RDM-010</t>
  </si>
  <si>
    <t>Karen Holloway / Tech Risk</t>
  </si>
  <si>
    <t>Synthetic media and deepfakes</t>
  </si>
  <si>
    <t>Customer authentication channels at risk from synthetic voice and video; voice biometrics review scheduled H2 2026</t>
  </si>
  <si>
    <t>Olivia Bennett / Op Risk</t>
  </si>
  <si>
    <t>Quantitative AI risk modelling</t>
  </si>
  <si>
    <t>Move from point-estimate to scenario-range risk quantification (RDM-012); will inform refreshed risk appetite</t>
  </si>
  <si>
    <t>Geoffrey Sanders / Risk Committee</t>
  </si>
  <si>
    <t>20. Audit Committee Focus Items</t>
  </si>
  <si>
    <t>Focus Item</t>
  </si>
  <si>
    <t>Audit Committee Implication</t>
  </si>
  <si>
    <t>Linked Evidence / Sheet</t>
  </si>
  <si>
    <t>AIMS Internal Audit programme (AUDIT-001 to AUDIT-006)</t>
  </si>
  <si>
    <t>6 audits scheduled across AIMS scope, customer-facing AI, third-party AI, cloud and IAM, model lifecycle and ISO 42001 readiness</t>
  </si>
  <si>
    <t>EVD-026 / Mgmt Review tracker</t>
  </si>
  <si>
    <t>Major NC findings closure</t>
  </si>
  <si>
    <t>3 major NC findings open across AUDIT-001, AUDIT-002 and AUDIT-003 - all linked to corrective actions CA-009, CA-010, CA-011</t>
  </si>
  <si>
    <t>Mgmt Review tracker Section 1</t>
  </si>
  <si>
    <t>ISO 42001 readiness assessment outcome</t>
  </si>
  <si>
    <t>Internal readiness review (AUDIT-006) scheduled Sep 2026; certification readiness assessment Q1 2027 informs Audit Committee certification recommendation</t>
  </si>
  <si>
    <t>Evidence currency and sufficiency</t>
  </si>
  <si>
    <t>30 evidence items in library; stale and due-soon flags driven by formula; sufficiency rating tracks Strong vs Adequate vs Partial</t>
  </si>
  <si>
    <t>Effectiveness review of corrective actions</t>
  </si>
  <si>
    <t>Effectiveness reviews scheduled for closed PIRs and closed audit findings; inputs to Q2 2026 management review (MR-2026-Q2)</t>
  </si>
  <si>
    <t>Three Lines of Defence operating effectiveness</t>
  </si>
  <si>
    <t>Independent assurance over 1st line ownership and 2nd line oversight; alignment of RACI and committee decision rights</t>
  </si>
  <si>
    <t>RACI Matrix and Governance Framework</t>
  </si>
  <si>
    <t>Executive Report V2 - AI Security and Governance Posture</t>
  </si>
  <si>
    <t>Quarterly leadership view of AI security, governance, risk, audit readiness, evidence and roadmap. Owner AI Security Manager. Reporting Period Q1 2026. Audience Board, ExCo, Risk Committee, Audit Committee.</t>
  </si>
  <si>
    <t>1. Executive Summary</t>
  </si>
  <si>
    <t>The AI Security function is on a credible glide-path toward ISO/IEC 42001 internal readiness review by Q4 2026 and certification readiness assessment in Q1 2027 (RDM-007). 22 AI use cases are in production, of which 11 are Tier 1 and customer-impacting. The composite maturity score is 3.22 of 5.00 against a target of 4.22 (76 percent of target). Across 38 ISO/IEC 42001 clauses and Annex A controls, 3 items are Audit Ready (score 3) and 24 are Ready with minor gaps (score 2); average readiness is 1.95 (65 percent of max). Twelve items carry potential major nonconformity risk if absent and are the focus of remediation. There are no Red KRI breaches; two KRIs are Amber under remediation. Quantified residual exposure is 53.7m, dominated by RSK-011 Regulatory breach (7.5m) and RSK-010 Cloud misconfiguration (6.0m).</t>
  </si>
  <si>
    <t>2. ISO/IEC 42001 Audit Readiness Posture</t>
  </si>
  <si>
    <t>ISO/IEC 42001 readiness is the function's primary focus. The AIMS scope, AI policy, and governance framework are documented and approved (EVD-023, EVD-024, EVD-027). Risk management (Clause 6.1), operational controls (Clause 8.1) and performance evaluation (Clause 9.1) are operating with strong evidence. Three areas carry the largest residual gap and are the most likely sources of nonconformity at audit if not closed - (a) AI system impact assessments under Clause 6.1.4 and Annex A.6.2.5 where customer-facing assessments require refresh after vendor sub-processor changes (CA-010); (b) third-party AI substitutability under Clause 8.1 and Annex A.7.5 where Tier-1 vendor exit plans are incomplete for VEN-001 and VEN-006 (CA-011); and (c) competence and awareness under Clauses 7.2-7.3 and Annex A.7.6 where training completion is 86 percent against a 95 percent target (CA-014). The function does not claim certification will be achieved - certification ultimately depends on assessor judgement and the actual implementation observed. Internal readiness review (AUDIT-006) is scheduled for September 2026.</t>
  </si>
  <si>
    <t>3. Strategic Posture</t>
  </si>
  <si>
    <t>The AI estate continues to expand within Risk Appetite. Internal models (underwriting, claims triage, fraud, pricing) remain robust with strong assurance and monitoring coverage at 92 percent for Tier 1 models. Customer-facing AI (voice agent assist, vulnerable customer detection, smart search) has matured with output guardrails, sample QA, complaint linkage, and refreshed hallucination filter post INC-008. Generative AI productivity tooling is embedded with Microsoft Purview controls; legacy SharePoint label inheritance is the residual gap (CA-004). The Splunk to Sentinel migration (RDM-010) is 60 percent complete and on track to retire dual-running cost in Q4 2026.</t>
  </si>
  <si>
    <t>4. Top 5 Material Risks (by Quantified Residual Exposure)</t>
  </si>
  <si>
    <t>Risk</t>
  </si>
  <si>
    <t>Regulatory breach (Consumer Duty, fairness, FCA)</t>
  </si>
  <si>
    <t>5. Likely Audit Test Focus and Interview Owners (Top 10 by Audit Sensitivity)</t>
  </si>
  <si>
    <t>Clause / Annex A</t>
  </si>
  <si>
    <t>Test Focus</t>
  </si>
  <si>
    <t>Interview Owner</t>
  </si>
  <si>
    <t>Readiness Score</t>
  </si>
  <si>
    <t>Linked Evidence</t>
  </si>
  <si>
    <t>Clause 4.3 - Scope of AIMS</t>
  </si>
  <si>
    <t>Auditor will request AIMS scope statement and trace it to actual AI estate</t>
  </si>
  <si>
    <t>Audit Ready</t>
  </si>
  <si>
    <t>EVD-023</t>
  </si>
  <si>
    <t>Clause 5.2 - AI Policy</t>
  </si>
  <si>
    <t>Auditor will check policy approval, version control, and that staff can articulate it</t>
  </si>
  <si>
    <t>AI Security Manager / CDO</t>
  </si>
  <si>
    <t>EVD-024</t>
  </si>
  <si>
    <t>Clause 6.1.2 - AI risk assessment</t>
  </si>
  <si>
    <t>Auditor will sample risk records and re-perform on selected use case</t>
  </si>
  <si>
    <t>CRO / AI Security Manager</t>
  </si>
  <si>
    <t>Ready (minor gaps)</t>
  </si>
  <si>
    <t>EVD-008</t>
  </si>
  <si>
    <t>Clause 6.1.4 / A.6.2.5 - AI system impact assessment</t>
  </si>
  <si>
    <t>Auditor will sample 2-3 material use cases and request full impact assessment</t>
  </si>
  <si>
    <t>AI Security Manager / DPO</t>
  </si>
  <si>
    <t>EVD-004,EVD-008</t>
  </si>
  <si>
    <t>Clause 7.3 / A.7.6 - Awareness and training</t>
  </si>
  <si>
    <t>Auditor will interview random colleagues to test awareness</t>
  </si>
  <si>
    <t>AI Security Manager / Comms</t>
  </si>
  <si>
    <t>Partial - Major NC risk</t>
  </si>
  <si>
    <t>EVD-029</t>
  </si>
  <si>
    <t>Clause 8.1 / A.7.5 - Vendor exit</t>
  </si>
  <si>
    <t>Auditor will check exit-plan completeness for material vendors</t>
  </si>
  <si>
    <t>EVD-030</t>
  </si>
  <si>
    <t>Clause 9.1 / A.6.2.7 - Fairness and bias</t>
  </si>
  <si>
    <t>Auditor will sample fairness test records for AUC-010 and AUC-014</t>
  </si>
  <si>
    <t>Helen Carter / Olivia Bennett</t>
  </si>
  <si>
    <t>EVD-010,EVD-014,EVD-019</t>
  </si>
  <si>
    <t>Clause 9.2 - Internal audit</t>
  </si>
  <si>
    <t>Auditor will request full internal audit programme and review findings closure</t>
  </si>
  <si>
    <t>CAE / Liam Carmichael</t>
  </si>
  <si>
    <t>EVD-026</t>
  </si>
  <si>
    <t>Clause 9.3 - Management review</t>
  </si>
  <si>
    <t>Auditor will check that all 9.3 inputs are evidenced (changes, performance, audits, risks, opportunities)</t>
  </si>
  <si>
    <t>AIGF Chair / AI Security Manager</t>
  </si>
  <si>
    <t>EVD-027</t>
  </si>
  <si>
    <t>Clause 10.2 - Corrective action</t>
  </si>
  <si>
    <t>Auditor will sample incidents and trace through corrective action and effectiveness</t>
  </si>
  <si>
    <t>AI Security Manager / IR</t>
  </si>
  <si>
    <t>EVD-013,EVD-028</t>
  </si>
  <si>
    <t>6. Recent Incidents and Themes</t>
  </si>
  <si>
    <t>Eight incidents have been recorded and closed in the rolling 90-day window. No customer detriment was confirmed. Dominant themes are Output Quality (4 incidents - INC-002, INC-003, INC-006, INC-008), Model Drift (1 incident - INC-001) and Vendor Outage (1 incident - INC-005). Each incident has a closed PIR with lessons fed into controls and roadmap items. Notable improvements include the hallucination filter retune (CTL-010), tighter alignment of vendor change windows with QA windows (CTL-007), and PAM re-baseline post INC-007. All eight PIRs are subject to effectiveness review at the next quarterly Management Review of AIMS (MR-2026-Q2).</t>
  </si>
  <si>
    <t>7. Top 10 Priority Remediation Actions (overdue first; ISO 42001-impacting)</t>
  </si>
  <si>
    <t>Complete impact assessments for all customer-facing AI use cases (refresh post-vendor sub-processor changes)</t>
  </si>
  <si>
    <t>Closes Clause 6.1.4 / A.6.2.5 gap</t>
  </si>
  <si>
    <t>Closes Clause 8.1 / A.7.5 gap; PRA Op Resilience aligned</t>
  </si>
  <si>
    <t>Closes Clause 9.3 management review gap</t>
  </si>
  <si>
    <t>Closes Clauses 7.2-7.3 / A.7.6 gap</t>
  </si>
  <si>
    <t>Closes A.7.3 vendor DD gap</t>
  </si>
  <si>
    <t>Reduces KRI-007 DLP exception trend</t>
  </si>
  <si>
    <t>Closes PIR-001 lessons learned</t>
  </si>
  <si>
    <t>Closes PIR-008 lessons learned</t>
  </si>
  <si>
    <t>Closes legacy SharePoint label gap</t>
  </si>
  <si>
    <t>Strengthens BCP for vendor outage</t>
  </si>
  <si>
    <t>8. Investment Priorities (FY 2026/27)</t>
  </si>
  <si>
    <t>Investment</t>
  </si>
  <si>
    <t>Category</t>
  </si>
  <si>
    <t>Annual Cost</t>
  </si>
  <si>
    <t>Outcome</t>
  </si>
  <si>
    <t>Linked Roadmap</t>
  </si>
  <si>
    <t>ISO 42001 readiness programme</t>
  </si>
  <si>
    <t>Programme - Change</t>
  </si>
  <si>
    <t>Internal readiness review Q4 2026; certification readiness Q1 2027</t>
  </si>
  <si>
    <t>RDM-007</t>
  </si>
  <si>
    <t>AI security tooling enhancements</t>
  </si>
  <si>
    <t>Closes RSK-008 evidence gap; supports A.6.2.9 logging</t>
  </si>
  <si>
    <t>RDM-002</t>
  </si>
  <si>
    <t>Splunk to Sentinel migration</t>
  </si>
  <si>
    <t>Retires dual-run; AI-aware detections; supports A.6.2.9</t>
  </si>
  <si>
    <t>RDM-010</t>
  </si>
  <si>
    <t>Sensitivity-label remediation</t>
  </si>
  <si>
    <t>Closes CTL-006 gap; supports A.7.4</t>
  </si>
  <si>
    <t>Tier-2 model monitoring uplift</t>
  </si>
  <si>
    <t>Lifts MAT-05 to Managed; supports A.6.2.8</t>
  </si>
  <si>
    <t>Customer-facing AI guardrail uplift</t>
  </si>
  <si>
    <t>Reduces RSK-005 exposure; supports A.6.2.11</t>
  </si>
  <si>
    <t>RDM-001</t>
  </si>
  <si>
    <t>Vendor exit planning</t>
  </si>
  <si>
    <t>Closes A.7.5 gap; supports PRA Op Resilience</t>
  </si>
  <si>
    <t>RDM-005</t>
  </si>
  <si>
    <t>Training and awareness</t>
  </si>
  <si>
    <t>Lifts CTL-016 to Implemented; closes A.7.6 gap</t>
  </si>
  <si>
    <t>Cross-cutting</t>
  </si>
  <si>
    <t>Total Change Investment</t>
  </si>
  <si>
    <t>Subtotal</t>
  </si>
  <si>
    <t>Phase 1 + Phase 2 delivery</t>
  </si>
  <si>
    <t>All RDM</t>
  </si>
  <si>
    <t>9. Key Leadership Decisions Required</t>
  </si>
  <si>
    <t>Decision Date</t>
  </si>
  <si>
    <t>Approve closure plan for 4 major-NC-risk areas</t>
  </si>
  <si>
    <t>Approve - CA-010, CA-011, CA-009, CA-014</t>
  </si>
  <si>
    <t>Approve documented substitutability assessments</t>
  </si>
  <si>
    <t>Approve in line with FY26/27 plan</t>
  </si>
  <si>
    <t>Reset risk appetite for residual AI risk</t>
  </si>
  <si>
    <t>10. Forward Look (Next 12 Months)</t>
  </si>
  <si>
    <t>Over the next 12 months, the function will deliver Phase 1 (Foundation) and progress Phase 2 (Embed) of the roadmap. ISO 42001 internal readiness review (RDM-007) is the centrepiece, supported by the lifecycle framework v2 (RDM-008) and SOC modernisation (RDM-010). Customer-facing AI guardrails (RDM-001), GenAI productivity controls (RDM-002), and pricing fairness (RDM-003) will continue maturing. Material risk reduction is targeted across regulatory exposure (RSK-011), customer-facing model risks (RSK-005, RSK-007, RSK-012) and cloud security (RSK-010). The first AIMS internal audit cycle (AUDIT-002 to AUDIT-006) will close out by year-end and feed into Q4 management review of AIMS. Phase 3 workstreams - operating model uplift (RDM-011) and resilience modelling (RDM-012) - begin in H2 to lay foundations for FY 2027/28.</t>
  </si>
  <si>
    <t>11. Sign-off and Distribution</t>
  </si>
  <si>
    <t>Role</t>
  </si>
  <si>
    <t>Name</t>
  </si>
  <si>
    <t>Date</t>
  </si>
  <si>
    <t>Distribution</t>
  </si>
  <si>
    <t>Prepared</t>
  </si>
  <si>
    <t>AI Governance Forum, ExCo, Risk Committee, Audit Committee</t>
  </si>
  <si>
    <t>CISO</t>
  </si>
  <si>
    <t>Reviewed</t>
  </si>
  <si>
    <t>As above</t>
  </si>
  <si>
    <t>CRO</t>
  </si>
  <si>
    <t>CDO (AIGF Chair)</t>
  </si>
  <si>
    <t>Quarterly board cycle</t>
  </si>
  <si>
    <t>TOM and Strategy V3 - AI Security and Governance Target Operating Model</t>
  </si>
  <si>
    <t>Target operating model for AI security and governance in a mid-sized UK insurer. Owner AI Security Manager, ratified by AI Governance Forum. Reviewed annually. Inspired by ISO IEC 42001, NIST AI RMF, FCA Consumer Duty and PRA Operational Resilience.</t>
  </si>
  <si>
    <t>0. Vision and Strategic Pillars</t>
  </si>
  <si>
    <t>Vision</t>
  </si>
  <si>
    <t>To enable Secure, Trustworthy and Ethical AI across the insurer through proactive risk management, embedded controls and standardised compliance, in line with ISO IEC 42001 and FCA Consumer Duty.</t>
  </si>
  <si>
    <t>Strategic Pillars (4)</t>
  </si>
  <si>
    <t>Pillar ID</t>
  </si>
  <si>
    <t>Pillar</t>
  </si>
  <si>
    <t>Linked Strategic Objective</t>
  </si>
  <si>
    <t>Linked Capability</t>
  </si>
  <si>
    <t>Lead Owner</t>
  </si>
  <si>
    <t>Primary Forum</t>
  </si>
  <si>
    <t>PIL-01</t>
  </si>
  <si>
    <t>Governance and Compliance</t>
  </si>
  <si>
    <t>Embed an ISO IEC 42001 aligned AIMS with traceable evidence and audit-ready posture</t>
  </si>
  <si>
    <t>SO-01</t>
  </si>
  <si>
    <t>CAP-01, CAP-09</t>
  </si>
  <si>
    <t>PIL-02</t>
  </si>
  <si>
    <t>Data Security and Privacy</t>
  </si>
  <si>
    <t>Protect training data, prompts, outputs and customer data from leakage and unauthorised access</t>
  </si>
  <si>
    <t>SO-02</t>
  </si>
  <si>
    <t>CAP-04, CAP-03</t>
  </si>
  <si>
    <t>CISO and DPO</t>
  </si>
  <si>
    <t>Data Protection Forum</t>
  </si>
  <si>
    <t>PIL-03</t>
  </si>
  <si>
    <t>Model Integrity and Fairness</t>
  </si>
  <si>
    <t>Prevent drift, bias, hallucination and tampering across material AI models</t>
  </si>
  <si>
    <t>SO-03</t>
  </si>
  <si>
    <t>CAP-02, CAP-05</t>
  </si>
  <si>
    <t>Model Risk Committee</t>
  </si>
  <si>
    <t>PIL-04</t>
  </si>
  <si>
    <t>Threat Detection and Resilience</t>
  </si>
  <si>
    <t>Detect adversarial activity, vendor outage and AI-specific threats; recover within tested fallback</t>
  </si>
  <si>
    <t>SO-04, SO-05</t>
  </si>
  <si>
    <t>CAP-03, CAP-08</t>
  </si>
  <si>
    <t>Tech Risk and Op Resilience</t>
  </si>
  <si>
    <t>1. Strategic Objectives</t>
  </si>
  <si>
    <t>Objective ID</t>
  </si>
  <si>
    <t>Strategic Objective</t>
  </si>
  <si>
    <t>Target Horizon</t>
  </si>
  <si>
    <t>Linked Pillar</t>
  </si>
  <si>
    <t>Embed ISO IEC 42001 aligned AI Management System</t>
  </si>
  <si>
    <t>Internal readiness review Q4 2026; certification readiness assessment Q1 2027</t>
  </si>
  <si>
    <t>FY 2026/27</t>
  </si>
  <si>
    <t>Strengthen customer-facing AI guardrails and Consumer Duty alignment</t>
  </si>
  <si>
    <t>Demonstrable customer outcomes monitored and improved; complaint linkage active</t>
  </si>
  <si>
    <t>Mature monitoring coverage across all production AI</t>
  </si>
  <si>
    <t>98 percent Tier-1 and 85 percent Tier-2 model coverage with drift, performance and bias monitoring</t>
  </si>
  <si>
    <t>SO-04</t>
  </si>
  <si>
    <t>Reduce concentration risk on material AI vendors</t>
  </si>
  <si>
    <t>Documented exit plans for all Tier-1 AI vendors and refreshed contractual clauses</t>
  </si>
  <si>
    <t>FY 2027/28</t>
  </si>
  <si>
    <t>SO-05</t>
  </si>
  <si>
    <t>Modernise SOC and SIEM with AI-aware detections</t>
  </si>
  <si>
    <t>Splunk retired; Sentinel plus Copilot for Security covering Azure subs</t>
  </si>
  <si>
    <t>SO-06</t>
  </si>
  <si>
    <t>Lift AI awareness and competence across the workforce</t>
  </si>
  <si>
    <t>95 percent completion across colleagues with AI access</t>
  </si>
  <si>
    <t>RDM-009</t>
  </si>
  <si>
    <t>SO-07</t>
  </si>
  <si>
    <t>Quantify and refresh AI risk exposure with scenario depth</t>
  </si>
  <si>
    <t>Quarterly residual risk update with quantified ranges informing risk appetite</t>
  </si>
  <si>
    <t>RDM-012</t>
  </si>
  <si>
    <t>2. Design Principles</t>
  </si>
  <si>
    <t>Principle ID</t>
  </si>
  <si>
    <t>Principle</t>
  </si>
  <si>
    <t>Implication for Operating Model</t>
  </si>
  <si>
    <t>Linked Controls</t>
  </si>
  <si>
    <t>Linked Policies</t>
  </si>
  <si>
    <t>DP-01</t>
  </si>
  <si>
    <t>Risk-based and proportionate</t>
  </si>
  <si>
    <t>Effort and oversight scale with materiality and customer impact</t>
  </si>
  <si>
    <t>Tiering of use cases drives forum routing and assurance depth</t>
  </si>
  <si>
    <t>CTL-001, CTL-014</t>
  </si>
  <si>
    <t>POL-001, POL-002</t>
  </si>
  <si>
    <t>DP-02</t>
  </si>
  <si>
    <t>Human-in-the-Loop by default</t>
  </si>
  <si>
    <t>Material decisions retain human accountability</t>
  </si>
  <si>
    <t>HITL is a control before approval; documented exceptions only</t>
  </si>
  <si>
    <t>CTL-008</t>
  </si>
  <si>
    <t>POL-002</t>
  </si>
  <si>
    <t>DP-03</t>
  </si>
  <si>
    <t>Privacy by Design and data minimisation</t>
  </si>
  <si>
    <t>Limit personal and restricted data exposure to AI; embedded at design</t>
  </si>
  <si>
    <t>Purpose limitation, sensitivity labelling and DPIA gate AI deployment</t>
  </si>
  <si>
    <t>CTL-006, CTL-013</t>
  </si>
  <si>
    <t>POL-008</t>
  </si>
  <si>
    <t>DPO</t>
  </si>
  <si>
    <t>DP-04</t>
  </si>
  <si>
    <t>Secure by Design</t>
  </si>
  <si>
    <t>Threat modelling and architecture review at intake</t>
  </si>
  <si>
    <t>Architecture review embedded in SVC-001 intake</t>
  </si>
  <si>
    <t>CTL-001, CTL-013</t>
  </si>
  <si>
    <t>POL-005</t>
  </si>
  <si>
    <t>DP-05</t>
  </si>
  <si>
    <t>Continuous monitoring</t>
  </si>
  <si>
    <t>Drift, performance and bias monitoring across deployed AI</t>
  </si>
  <si>
    <t>Monitoring is a service (SVC-010) with cross-model coverage</t>
  </si>
  <si>
    <t>CTL-005</t>
  </si>
  <si>
    <t>POL-004</t>
  </si>
  <si>
    <t>DP-06</t>
  </si>
  <si>
    <t>Three Lines of Defence</t>
  </si>
  <si>
    <t>Clear separation between operate, oversee and assure</t>
  </si>
  <si>
    <t>Owner / AISec / IA model with defined RACI</t>
  </si>
  <si>
    <t>All controls</t>
  </si>
  <si>
    <t>POL-002, POL-007</t>
  </si>
  <si>
    <t>DP-07</t>
  </si>
  <si>
    <t>Vendor accountability</t>
  </si>
  <si>
    <t>Third-party AI providers held to same controls as internal AI</t>
  </si>
  <si>
    <t>DD, ongoing monitoring, exit and substitutability evidenced</t>
  </si>
  <si>
    <t>CTL-009, CTL-011</t>
  </si>
  <si>
    <t>POL-009</t>
  </si>
  <si>
    <t>DP-08</t>
  </si>
  <si>
    <t>Evidence-driven assurance and Transparency</t>
  </si>
  <si>
    <t>Audit-ready evidence library; explainability for stakeholders and auditors</t>
  </si>
  <si>
    <t>GRC tooling underpins control testing; XAI for material models</t>
  </si>
  <si>
    <t>POL-007</t>
  </si>
  <si>
    <t>3. Capability Layer Model</t>
  </si>
  <si>
    <t>Layer</t>
  </si>
  <si>
    <t>Capability ID</t>
  </si>
  <si>
    <t>Capability Area</t>
  </si>
  <si>
    <t>Service Domain</t>
  </si>
  <si>
    <t>Owning Function</t>
  </si>
  <si>
    <t>Linked Services</t>
  </si>
  <si>
    <t>Linked Maturity Domain</t>
  </si>
  <si>
    <t>Strategy and Policy</t>
  </si>
  <si>
    <t>CAP-01</t>
  </si>
  <si>
    <t>AI Governance and Policy</t>
  </si>
  <si>
    <t>Governance</t>
  </si>
  <si>
    <t>AI Governance Office</t>
  </si>
  <si>
    <t>SVC-001</t>
  </si>
  <si>
    <t>MAT-01</t>
  </si>
  <si>
    <t>Governance and Risk</t>
  </si>
  <si>
    <t>CAP-02</t>
  </si>
  <si>
    <t>AI Risk Management</t>
  </si>
  <si>
    <t>Risk Function</t>
  </si>
  <si>
    <t>SVC-002, SVC-004, SVC-010</t>
  </si>
  <si>
    <t>MAT-02</t>
  </si>
  <si>
    <t>CAP-06</t>
  </si>
  <si>
    <t>Third-Party Oversight</t>
  </si>
  <si>
    <t>Third-Party</t>
  </si>
  <si>
    <t>Procurement and TPRM</t>
  </si>
  <si>
    <t>SVC-015</t>
  </si>
  <si>
    <t>MAT-06</t>
  </si>
  <si>
    <t>CAP-07</t>
  </si>
  <si>
    <t>AI Lifecycle Management</t>
  </si>
  <si>
    <t>Operations</t>
  </si>
  <si>
    <t>SVC-001, SVC-002, SVC-003</t>
  </si>
  <si>
    <t>MAT-07</t>
  </si>
  <si>
    <t>Engineering and Privacy</t>
  </si>
  <si>
    <t>CAP-03</t>
  </si>
  <si>
    <t>AI Security Engineering</t>
  </si>
  <si>
    <t>Security Engineering</t>
  </si>
  <si>
    <t>SVC-014</t>
  </si>
  <si>
    <t>MAT-03</t>
  </si>
  <si>
    <t>CAP-04</t>
  </si>
  <si>
    <t>Privacy and Data Handling</t>
  </si>
  <si>
    <t>Compliance</t>
  </si>
  <si>
    <t>SVC-009</t>
  </si>
  <si>
    <t>MAT-04</t>
  </si>
  <si>
    <t>Operations and Assurance</t>
  </si>
  <si>
    <t>CAP-05</t>
  </si>
  <si>
    <t>Monitoring and Assurance</t>
  </si>
  <si>
    <t>Monitoring</t>
  </si>
  <si>
    <t>Data and Analytics</t>
  </si>
  <si>
    <t>SVC-010</t>
  </si>
  <si>
    <t>MAT-05</t>
  </si>
  <si>
    <t>CAP-08</t>
  </si>
  <si>
    <t>Operational Resilience</t>
  </si>
  <si>
    <t>Incident Response</t>
  </si>
  <si>
    <t>COO</t>
  </si>
  <si>
    <t>MAT-08</t>
  </si>
  <si>
    <t>CAP-09</t>
  </si>
  <si>
    <t>Evidence and Documentation</t>
  </si>
  <si>
    <t>Assurance</t>
  </si>
  <si>
    <t>SVC-002, SVC-006, SVC-015</t>
  </si>
  <si>
    <t>MAT-09</t>
  </si>
  <si>
    <t>4. AI Lifecycle Oversight Model (5 Stages)</t>
  </si>
  <si>
    <t>Stage</t>
  </si>
  <si>
    <t>Stage Description</t>
  </si>
  <si>
    <t>Key Activities</t>
  </si>
  <si>
    <t>Gating Decision and Owner</t>
  </si>
  <si>
    <t>Linked Service</t>
  </si>
  <si>
    <t>Linked Forum</t>
  </si>
  <si>
    <t>1. Discovery</t>
  </si>
  <si>
    <t>Use case identification, materiality screen and data feasibility</t>
  </si>
  <si>
    <t>Intake form, problem statement, data classification, customer impact flag</t>
  </si>
  <si>
    <t>Triage decision - Daniel O'Reilly</t>
  </si>
  <si>
    <t>CTL-001</t>
  </si>
  <si>
    <t>2. Assessment</t>
  </si>
  <si>
    <t>Risk, privacy, fairness, security and impact assessment</t>
  </si>
  <si>
    <t>DPIA, security review, fairness review, model risk classification</t>
  </si>
  <si>
    <t>Use case approval - AI Governance Forum</t>
  </si>
  <si>
    <t>CTL-001, CTL-003, CTL-008, CTL-014</t>
  </si>
  <si>
    <t>SVC-002, SVC-004</t>
  </si>
  <si>
    <t>AIGF and Model Risk Committee</t>
  </si>
  <si>
    <t>3. Development</t>
  </si>
  <si>
    <t>Secure build, data minimisation, fairness testing, validation</t>
  </si>
  <si>
    <t>Secure coding, sandboxing, sensitivity labelling, validation packs</t>
  </si>
  <si>
    <t>Pre-deployment sign-off - Mohammed Iqbal and Karen Holloway</t>
  </si>
  <si>
    <t>CTL-005, CTL-006, CTL-012</t>
  </si>
  <si>
    <t>SVC-002, SVC-006</t>
  </si>
  <si>
    <t>4. Deployment</t>
  </si>
  <si>
    <t>Controlled deployment with guardrails, change control and rollback</t>
  </si>
  <si>
    <t>Output filters, change windows, HITL gates, change records</t>
  </si>
  <si>
    <t>Go-live decision - Service Owner</t>
  </si>
  <si>
    <t>CTL-007, CTL-008, CTL-010</t>
  </si>
  <si>
    <t>SVC-003, SVC-005</t>
  </si>
  <si>
    <t>5. Monitoring</t>
  </si>
  <si>
    <t>Continuous performance, drift, bias, prompt and incident monitoring</t>
  </si>
  <si>
    <t>Drift alerts, sample QA, complaints linkage, periodic review</t>
  </si>
  <si>
    <t>Quarterly review - Mohammed Iqbal</t>
  </si>
  <si>
    <t>CTL-005, CTL-008, CTL-013, CTL-014</t>
  </si>
  <si>
    <t>MRC and AIGF</t>
  </si>
  <si>
    <t>5. Metrics Framework (KRI / KPI / KCI)</t>
  </si>
  <si>
    <t>Metric Type</t>
  </si>
  <si>
    <t>Definition</t>
  </si>
  <si>
    <t>Example</t>
  </si>
  <si>
    <t>Sheet</t>
  </si>
  <si>
    <t>Threshold Logic</t>
  </si>
  <si>
    <t>KRI - Key Risk Indicator</t>
  </si>
  <si>
    <t>Forward-looking indicator that a risk threshold may be breached</t>
  </si>
  <si>
    <t>KRI-001 Models with material drift; KRI-007 DLP exceptions on GenAI</t>
  </si>
  <si>
    <t>Threshold Amber/Red with trend; escalation flag formula</t>
  </si>
  <si>
    <t>AIGF and Risk Committee</t>
  </si>
  <si>
    <t>KPI - Key Performance Indicator</t>
  </si>
  <si>
    <t>Backward-looking indicator of operational performance vs target</t>
  </si>
  <si>
    <t>KPI-002 Material models with current assurance; KPI-007 Tier-1 vendor DD currency</t>
  </si>
  <si>
    <t>KPI Tracking</t>
  </si>
  <si>
    <t>Actual vs Target via IF formula</t>
  </si>
  <si>
    <t>KCI - Key Control Indicator</t>
  </si>
  <si>
    <t>Indicator of control operating effectiveness over a period</t>
  </si>
  <si>
    <t>KCI-01 percent of material models passing fairness test; KCI-02 percent of customer-facing AI with output filter regression test pass</t>
  </si>
  <si>
    <t>KPI Tracking (KCI block) and Compliance Mapping</t>
  </si>
  <si>
    <t>Pass percentage vs target with trend</t>
  </si>
  <si>
    <t>Maturity Score</t>
  </si>
  <si>
    <t>Composite maturity score 1-5 across 9 domains vs target 4.22</t>
  </si>
  <si>
    <t>MAT-01 to MAT-09 current vs target with gap</t>
  </si>
  <si>
    <t>Average current divided by target</t>
  </si>
  <si>
    <t>Audit Readiness</t>
  </si>
  <si>
    <t>Readiness against ISO IEC 42001 clauses and Annex A controls</t>
  </si>
  <si>
    <t>Readiness score 0-3 across 38 items</t>
  </si>
  <si>
    <t>Score 3 = Audit Ready; 2 = minor gaps; 1 = partial; 0 = not ready</t>
  </si>
  <si>
    <t>AIGF and Audit Committee</t>
  </si>
  <si>
    <t>6. Supporting Technology Architecture</t>
  </si>
  <si>
    <t>Architecture Layer</t>
  </si>
  <si>
    <t>Capability</t>
  </si>
  <si>
    <t>Tooling</t>
  </si>
  <si>
    <t>Purpose</t>
  </si>
  <si>
    <t>Linked Use Cases</t>
  </si>
  <si>
    <t>Secure Sandboxes</t>
  </si>
  <si>
    <t>Isolated experimentation environment</t>
  </si>
  <si>
    <t>Databricks workspaces, Azure Sandbox subscriptions</t>
  </si>
  <si>
    <t>Allow data scientists to experiment on synthetic or controlled data</t>
  </si>
  <si>
    <t>AUC-009 and dev environments</t>
  </si>
  <si>
    <t>AI Gateway and Output Filters</t>
  </si>
  <si>
    <t>Policy enforcement and guardrails on AI outputs</t>
  </si>
  <si>
    <t>Azure OpenAI content filters, internal hallucination filter, prompt logging</t>
  </si>
  <si>
    <t>Enforce output guardrails (PII redaction, hallucination, toxic content) on customer-facing AI</t>
  </si>
  <si>
    <t>AUC-004, AUC-008, AUC-013, AUC-017</t>
  </si>
  <si>
    <t>Model and Drift Scanners</t>
  </si>
  <si>
    <t>Continuous model and data drift scanning</t>
  </si>
  <si>
    <t>Databricks model registry, MLOps drift monitor</t>
  </si>
  <si>
    <t>Detect drift, performance degradation and bias on deployed models</t>
  </si>
  <si>
    <t>AUC-001, AUC-002, AUC-009, AUC-010, AUC-019</t>
  </si>
  <si>
    <t>Adversarial Testing and Red Teaming</t>
  </si>
  <si>
    <t>Structured adversarial testing of AI systems</t>
  </si>
  <si>
    <t>Internal red-team harness, hallucination regression battery, prompt-injection test set</t>
  </si>
  <si>
    <t>Test customer-facing GenAI for prompt injection, hallucination, leakage</t>
  </si>
  <si>
    <t>Karen Holloway and Olivia Bennett</t>
  </si>
  <si>
    <t>Privacy Enhancing Technologies</t>
  </si>
  <si>
    <t>Data minimisation and privacy at the inference layer</t>
  </si>
  <si>
    <t>Microsoft Purview sensitivity labels, DLP, redaction</t>
  </si>
  <si>
    <t>Prevent restricted or personal data leaving the perimeter via GenAI</t>
  </si>
  <si>
    <t>AUC-006, AUC-007, AUC-008</t>
  </si>
  <si>
    <t>Karen Holloway and DPO</t>
  </si>
  <si>
    <t>XAI and Explainability</t>
  </si>
  <si>
    <t>Explainability and traceability of AI outputs</t>
  </si>
  <si>
    <t>Internal model explainability dashboards, audit logs</t>
  </si>
  <si>
    <t>Provide auditor and stakeholder access to model rationale; supports A.6.2.9 logging</t>
  </si>
  <si>
    <t>AUC-001, AUC-003, AUC-010, AUC-014, AUC-019</t>
  </si>
  <si>
    <t>SIEM and SOC</t>
  </si>
  <si>
    <t>Security monitoring and SOC analytics for AI workloads</t>
  </si>
  <si>
    <t>Microsoft Sentinel plus Copilot for Security; Splunk transitional</t>
  </si>
  <si>
    <t>AI-aware threat detection and SOC playbooks</t>
  </si>
  <si>
    <t>AUC-009, AUC-017, AUC-021</t>
  </si>
  <si>
    <t>GRC and Evidence</t>
  </si>
  <si>
    <t>Centralised evidence library and DPIA tooling</t>
  </si>
  <si>
    <t>OneTrust GRC plus DPIA plus Evidence Register</t>
  </si>
  <si>
    <t>Audit-ready evidence pack and DPIA workflow</t>
  </si>
  <si>
    <t>7. Talent and Capability Model</t>
  </si>
  <si>
    <t>Role Type</t>
  </si>
  <si>
    <t>Linked RES ID</t>
  </si>
  <si>
    <t>Specialist Skill</t>
  </si>
  <si>
    <t>Capability Coverage</t>
  </si>
  <si>
    <t>Sourcing Model</t>
  </si>
  <si>
    <t>Critical Skills Gap</t>
  </si>
  <si>
    <t>AI Security Architect</t>
  </si>
  <si>
    <t>RES-001, RES-003</t>
  </si>
  <si>
    <t>Cloud security, MLOps security, prompt injection defence</t>
  </si>
  <si>
    <t>PIL-02, PIL-04</t>
  </si>
  <si>
    <t>Internal FTE</t>
  </si>
  <si>
    <t>Prompt-injection detection content authoring</t>
  </si>
  <si>
    <t>Data Privacy Engineer</t>
  </si>
  <si>
    <t>RES-006</t>
  </si>
  <si>
    <t>DPIA, GDPR/UK DPA, ISO 27701, sensitivity labelling</t>
  </si>
  <si>
    <t>Stable</t>
  </si>
  <si>
    <t>ML Risk Analyst</t>
  </si>
  <si>
    <t>RES-002</t>
  </si>
  <si>
    <t>Risk quantification, model risk, fairness review, regulatory mapping</t>
  </si>
  <si>
    <t>NIST AI RMF practitioner, UK Consumer Duty practical experience</t>
  </si>
  <si>
    <t>AI Ethics and Compliance Specialist</t>
  </si>
  <si>
    <t>RES-007, RES-008</t>
  </si>
  <si>
    <t>Compliance mapping, fairness testing, hallucination QA</t>
  </si>
  <si>
    <t>PIL-03, PIL-01</t>
  </si>
  <si>
    <t>Bias and fairness testing depth</t>
  </si>
  <si>
    <t>Helen Carter, Olivia Bennett</t>
  </si>
  <si>
    <t>8. Ownership Model - Three Lines of Defence</t>
  </si>
  <si>
    <t>Line</t>
  </si>
  <si>
    <t>Function</t>
  </si>
  <si>
    <t>Role in AI Estate</t>
  </si>
  <si>
    <t>Forums</t>
  </si>
  <si>
    <t>Reports To</t>
  </si>
  <si>
    <t>1st Line</t>
  </si>
  <si>
    <t>Business / Tech / AI Operations</t>
  </si>
  <si>
    <t>Build, run and operate AI use cases</t>
  </si>
  <si>
    <t>Use case ownership, model build, monitoring response, evidence generation</t>
  </si>
  <si>
    <t>Business owners</t>
  </si>
  <si>
    <t>2nd Line</t>
  </si>
  <si>
    <t>AI Security and Risk</t>
  </si>
  <si>
    <t>Independent oversight, policy and challenge</t>
  </si>
  <si>
    <t>Policy, risk, control design, assurance reporting</t>
  </si>
  <si>
    <t>AIGF, MRC, TRC, Risk Committee</t>
  </si>
  <si>
    <t>3rd Line</t>
  </si>
  <si>
    <t>Internal Audit</t>
  </si>
  <si>
    <t>Independent assurance</t>
  </si>
  <si>
    <t>Audit plan, walkthroughs, control testing, findings</t>
  </si>
  <si>
    <t>Audit Committee</t>
  </si>
  <si>
    <t>CAE</t>
  </si>
  <si>
    <t>TOM Index - Workbook Navigation and Cross-Reference</t>
  </si>
  <si>
    <t>Index of capabilities, processes, owners and linked controls/metrics with hyperlinks to every sheet in the workbook. Use this sheet as the central navigation hub.</t>
  </si>
  <si>
    <t>Workbook Section</t>
  </si>
  <si>
    <t>Capability/Purpose</t>
  </si>
  <si>
    <t>Linked Control Family</t>
  </si>
  <si>
    <t>Key KPI/KRI</t>
  </si>
  <si>
    <t>Open Sheet</t>
  </si>
  <si>
    <t>Executive Overview</t>
  </si>
  <si>
    <t>Dashboard</t>
  </si>
  <si>
    <t>Formula-driven executive view of posture across governance, risk, security, services, incidents and roadmap</t>
  </si>
  <si>
    <t>All</t>
  </si>
  <si>
    <t>KPI/KRI rollups</t>
  </si>
  <si>
    <t>Open Dashboard</t>
  </si>
  <si>
    <t>Narrative view of strategic posture, material risks, priorities and leadership decisions</t>
  </si>
  <si>
    <t>Maturity score</t>
  </si>
  <si>
    <t>Open</t>
  </si>
  <si>
    <t>Strategy and Vision</t>
  </si>
  <si>
    <t>Target operating model strategic objectives design principles capabilities and ownership model</t>
  </si>
  <si>
    <t>Maturity targets</t>
  </si>
  <si>
    <t>This sheet - workbook navigation and cross-reference index</t>
  </si>
  <si>
    <t>Coverage</t>
  </si>
  <si>
    <t>AI Estate</t>
  </si>
  <si>
    <t>Anchor sheet - inventory of 22 AI use cases linked to risks, controls, services, vendors, KPIs, KRIs, incidents and roadmap</t>
  </si>
  <si>
    <t>CTL-001,CTL-014</t>
  </si>
  <si>
    <t>KPI-001</t>
  </si>
  <si>
    <t>Governance Framework</t>
  </si>
  <si>
    <t>9 oversight committees with mandates cadence and reporting</t>
  </si>
  <si>
    <t>Company Secretariat / Risk</t>
  </si>
  <si>
    <t>N/A</t>
  </si>
  <si>
    <t>RACI Matrix</t>
  </si>
  <si>
    <t>18 lifecycle activities mapped against 9 organisational roles</t>
  </si>
  <si>
    <t>Service Delivery</t>
  </si>
  <si>
    <t>Service Catalog Master</t>
  </si>
  <si>
    <t>15 AI security and governance services</t>
  </si>
  <si>
    <t>CTL-001..CTL-016</t>
  </si>
  <si>
    <t>KPI-001..KPI-011</t>
  </si>
  <si>
    <t>SLA-SLO Definitions</t>
  </si>
  <si>
    <t>Response, resolution and quality targets across services</t>
  </si>
  <si>
    <t>KPI-001,KPI-003,KPI-009</t>
  </si>
  <si>
    <t>Service Request Log</t>
  </si>
  <si>
    <t>24 historic and in-flight requests with ageing and SLA-met formulas</t>
  </si>
  <si>
    <t>Risk Management</t>
  </si>
  <si>
    <t>9 KRIs with breach formulas and trends</t>
  </si>
  <si>
    <t>CTL-005,CTL-013,CTL-014</t>
  </si>
  <si>
    <t>KRI-001..KRI-009</t>
  </si>
  <si>
    <t>13 risks with inherent vs residual scoring and exposure totals</t>
  </si>
  <si>
    <t>CRO + AI Security Manager</t>
  </si>
  <si>
    <t>Risk score</t>
  </si>
  <si>
    <t>16 AI-relevant vendors with DD, security, privacy and exit posture</t>
  </si>
  <si>
    <t>CTL-009,CTL-011,CTL-014</t>
  </si>
  <si>
    <t>KPI-007</t>
  </si>
  <si>
    <t>8 AI incidents and near-misses with PIR references</t>
  </si>
  <si>
    <t>AI Security Manager + IR</t>
  </si>
  <si>
    <t>CTL-005,CTL-008,CTL-010,CTL-013</t>
  </si>
  <si>
    <t>KRI-001,KRI-007</t>
  </si>
  <si>
    <t>Compliance and Security</t>
  </si>
  <si>
    <t>Compliance Mapping</t>
  </si>
  <si>
    <t>16 controls mapped to ISO 42001, NIST AI RMF, FCA and adjacent frameworks</t>
  </si>
  <si>
    <t>Implementation status</t>
  </si>
  <si>
    <t>Cloud Security Services</t>
  </si>
  <si>
    <t>12 cloud security control areas protecting AI workloads</t>
  </si>
  <si>
    <t>CISO + Head of Cloud</t>
  </si>
  <si>
    <t>CTL-005,CTL-006,CTL-013</t>
  </si>
  <si>
    <t>KPI-006</t>
  </si>
  <si>
    <t>IAM Services</t>
  </si>
  <si>
    <t>11 IAM control areas including PAM, recertification and JML</t>
  </si>
  <si>
    <t>CTL-006,CTL-013</t>
  </si>
  <si>
    <t>Performance and Maturity</t>
  </si>
  <si>
    <t>11 KPIs with status formulas</t>
  </si>
  <si>
    <t>9 maturity domains with current vs target and gap formulas</t>
  </si>
  <si>
    <t>Metrics Calculation Guide</t>
  </si>
  <si>
    <t>Documents formulas, sources, thresholds and assumptions</t>
  </si>
  <si>
    <t>All metrics</t>
  </si>
  <si>
    <t>Technology and Automation</t>
  </si>
  <si>
    <t>Technology Stack</t>
  </si>
  <si>
    <t>18 platforms and tools supporting AI workloads</t>
  </si>
  <si>
    <t>Head of Cloud</t>
  </si>
  <si>
    <t>CTL-005,CTL-013</t>
  </si>
  <si>
    <t>KPI-003,KPI-006</t>
  </si>
  <si>
    <t>Automation Hub</t>
  </si>
  <si>
    <t>12 automated control and evidence workflows</t>
  </si>
  <si>
    <t>Automation coverage</t>
  </si>
  <si>
    <t>Resources and Finance</t>
  </si>
  <si>
    <t>12 roles with FTE current/target and sourcing model</t>
  </si>
  <si>
    <t>FTE gap</t>
  </si>
  <si>
    <t>Financial Analysis</t>
  </si>
  <si>
    <t>FY26/27 budget totalling ~£6.16M with Run/Change/Contingency subtotals</t>
  </si>
  <si>
    <t>Variance</t>
  </si>
  <si>
    <t>Implementation and Continuity</t>
  </si>
  <si>
    <t>Implementation Roadmap</t>
  </si>
  <si>
    <t>12 workstreams across 3 phases with %complete and status</t>
  </si>
  <si>
    <t>Avg %complete</t>
  </si>
  <si>
    <t>Business Continuity</t>
  </si>
  <si>
    <t>Resilience profile for 14 critical AI services with RTO/RPO and fallbacks</t>
  </si>
  <si>
    <t>COO / Op Resilience</t>
  </si>
  <si>
    <t>CTL-005,CTL-011</t>
  </si>
  <si>
    <t>Test cadence</t>
  </si>
  <si>
    <t>Reference Data</t>
  </si>
  <si>
    <t>Centralised dropdown lists and validation vocabulary</t>
  </si>
  <si>
    <t>AI Use Case Register - Core Inventory of AI Capabilities</t>
  </si>
  <si>
    <t>Anchor sheet of the workbook. Each use case links to services, vendors, risks, controls, KPIs, KRIs, incidents, roadmap items and evidence. Owner AI Governance Office. Cadence quarterly review.</t>
  </si>
  <si>
    <t>Use Case Name</t>
  </si>
  <si>
    <t>Business Unit</t>
  </si>
  <si>
    <t>Objective</t>
  </si>
  <si>
    <t>AI Type</t>
  </si>
  <si>
    <t>Model Service Type</t>
  </si>
  <si>
    <t>Deployment</t>
  </si>
  <si>
    <t>Service ID</t>
  </si>
  <si>
    <t>Business Owner</t>
  </si>
  <si>
    <t>Technical Owner</t>
  </si>
  <si>
    <t>Risk Owner</t>
  </si>
  <si>
    <t>Data Classification</t>
  </si>
  <si>
    <t>Personal Data</t>
  </si>
  <si>
    <t>Customer Impact</t>
  </si>
  <si>
    <t>Criticality Tier</t>
  </si>
  <si>
    <t>Assurance Status</t>
  </si>
  <si>
    <t>Linked Risk IDs</t>
  </si>
  <si>
    <t>Linked Control IDs</t>
  </si>
  <si>
    <t>Linked KPI IDs</t>
  </si>
  <si>
    <t>Linked KRI IDs</t>
  </si>
  <si>
    <t>Linked Incident IDs</t>
  </si>
  <si>
    <t>Linked Roadmap IDs</t>
  </si>
  <si>
    <t>Governance Forum</t>
  </si>
  <si>
    <t>Evidence Ref</t>
  </si>
  <si>
    <t>Last Review</t>
  </si>
  <si>
    <t>Next Review</t>
  </si>
  <si>
    <t>Review Currency</t>
  </si>
  <si>
    <t>AUC-001</t>
  </si>
  <si>
    <t>Underwriting Decision Support - Commercial Property</t>
  </si>
  <si>
    <t>Underwriting</t>
  </si>
  <si>
    <t>GBM model assists underwriters with risk scoring on commercial property submissions; advisory only, underwriter retains decision.</t>
  </si>
  <si>
    <t>Improve technical pricing accuracy and reduce time-to-quote</t>
  </si>
  <si>
    <t>Traditional ML</t>
  </si>
  <si>
    <t>Internal model on Databricks</t>
  </si>
  <si>
    <t>IaaS</t>
  </si>
  <si>
    <t>SVC-002</t>
  </si>
  <si>
    <t>Priya Shah</t>
  </si>
  <si>
    <t>Confidential</t>
  </si>
  <si>
    <t>No</t>
  </si>
  <si>
    <t>Yes</t>
  </si>
  <si>
    <t>Complete</t>
  </si>
  <si>
    <t>RSK-001,RSK-004</t>
  </si>
  <si>
    <t>CTL-001,CTL-005,CTL-012</t>
  </si>
  <si>
    <t>KPI-002,KPI-007</t>
  </si>
  <si>
    <t>KRI-001,KRI-003</t>
  </si>
  <si>
    <t>INC-002</t>
  </si>
  <si>
    <t>RDM-003,RDM-007</t>
  </si>
  <si>
    <t>EVD-001</t>
  </si>
  <si>
    <t>12/03/2026</t>
  </si>
  <si>
    <t>12/06/2026</t>
  </si>
  <si>
    <t>Reviewed Q1 2026; minor drift remediation underway</t>
  </si>
  <si>
    <t>AUC-002</t>
  </si>
  <si>
    <t>Claims Triage - Motor FNOL</t>
  </si>
  <si>
    <t>Claims</t>
  </si>
  <si>
    <t>Classifies inbound FNOL into fast-track, complex and fraud-suspect channels; SLA-driven routing with human override.</t>
  </si>
  <si>
    <t>Cut average triage time and route complex claims earlier</t>
  </si>
  <si>
    <t>Internal</t>
  </si>
  <si>
    <t>SVC-003</t>
  </si>
  <si>
    <t>RSK-002,RSK-007</t>
  </si>
  <si>
    <t>CTL-002,CTL-005,CTL-008</t>
  </si>
  <si>
    <t>KPI-003,KPI-009</t>
  </si>
  <si>
    <t>KRI-002,KRI-005</t>
  </si>
  <si>
    <t>INC-001,INC-005</t>
  </si>
  <si>
    <t>RDM-004</t>
  </si>
  <si>
    <t>EVD-002</t>
  </si>
  <si>
    <t>22/02/2026</t>
  </si>
  <si>
    <t>22/05/2026</t>
  </si>
  <si>
    <t>Champion-challenger active</t>
  </si>
  <si>
    <t>AUC-003</t>
  </si>
  <si>
    <t>Fraud Detection - Motor Claims</t>
  </si>
  <si>
    <t>Anomaly detection scoring claims for organised and opportunistic fraud likelihood; outputs feed SIU queue.</t>
  </si>
  <si>
    <t>Increase recovery and reduce leakage</t>
  </si>
  <si>
    <t>Anomaly Detection</t>
  </si>
  <si>
    <t>Internal plus 3rd-party signals</t>
  </si>
  <si>
    <t>Hybrid</t>
  </si>
  <si>
    <t>VEN-002</t>
  </si>
  <si>
    <t>SVC-004</t>
  </si>
  <si>
    <t>Restricted</t>
  </si>
  <si>
    <t>RSK-003,RSK-007,RSK-011</t>
  </si>
  <si>
    <t>CTL-002,CTL-008,CTL-014</t>
  </si>
  <si>
    <t>KPI-004</t>
  </si>
  <si>
    <t>KRI-006</t>
  </si>
  <si>
    <t>EVD-003</t>
  </si>
  <si>
    <t>05/01/2026</t>
  </si>
  <si>
    <t>05/04/2026</t>
  </si>
  <si>
    <t>False-positive review scheduled</t>
  </si>
  <si>
    <t>Customer Operations</t>
  </si>
  <si>
    <t>LLM assistant providing real-time suggested responses to contact-centre agents on policy and claims queries; agent always confirms before relaying.</t>
  </si>
  <si>
    <t>Reduce AHT and improve first-contact resolution</t>
  </si>
  <si>
    <t>Generative AI (LLM)</t>
  </si>
  <si>
    <t>Vendor LLM (Azure OpenAI)</t>
  </si>
  <si>
    <t>SaaS</t>
  </si>
  <si>
    <t>SVC-005</t>
  </si>
  <si>
    <t>In Progress</t>
  </si>
  <si>
    <t>RSK-005,RSK-008,RSK-012</t>
  </si>
  <si>
    <t>CTL-003,CTL-006,CTL-010,CTL-015</t>
  </si>
  <si>
    <t>KPI-005,KPI-010</t>
  </si>
  <si>
    <t>KRI-004,KRI-007</t>
  </si>
  <si>
    <t>INC-003,INC-008</t>
  </si>
  <si>
    <t>RDM-001,RDM-002</t>
  </si>
  <si>
    <t>EVD-004</t>
  </si>
  <si>
    <t>18/03/2026</t>
  </si>
  <si>
    <t>18/06/2026</t>
  </si>
  <si>
    <t>DPIA approved; output filtering active</t>
  </si>
  <si>
    <t>AUC-005</t>
  </si>
  <si>
    <t>Document Intelligence - Claims Evidence Extraction</t>
  </si>
  <si>
    <t>OCR plus NLP extracts data from claims documents (invoices, medical reports) and pre-populates claim system fields.</t>
  </si>
  <si>
    <t>Reduce manual keying and cycle time</t>
  </si>
  <si>
    <t>NLP</t>
  </si>
  <si>
    <t>Vendor plus Internal</t>
  </si>
  <si>
    <t>SVC-006</t>
  </si>
  <si>
    <t>RSK-006,RSK-009</t>
  </si>
  <si>
    <t>CTL-004,CTL-007</t>
  </si>
  <si>
    <t>KPI-008</t>
  </si>
  <si>
    <t>KRI-008</t>
  </si>
  <si>
    <t>INC-006</t>
  </si>
  <si>
    <t>RDM-006</t>
  </si>
  <si>
    <t>EVD-005</t>
  </si>
  <si>
    <t>28/01/2026</t>
  </si>
  <si>
    <t>28/04/2026</t>
  </si>
  <si>
    <t>Drift monitoring weekly</t>
  </si>
  <si>
    <t>AUC-006</t>
  </si>
  <si>
    <t>Internal GenAI Productivity Assistant - M365 Copilot</t>
  </si>
  <si>
    <t>IT and Cloud</t>
  </si>
  <si>
    <t>Microsoft 365 Copilot deployed to ~600 colleagues; restricted by sensitivity labels and Purview DLP.</t>
  </si>
  <si>
    <t>Improve colleague productivity</t>
  </si>
  <si>
    <t>Vendor LLM</t>
  </si>
  <si>
    <t>SVC-007</t>
  </si>
  <si>
    <t>RSK-005,RSK-008,RSK-010</t>
  </si>
  <si>
    <t>CTL-006,CTL-010,CTL-013,CTL-016</t>
  </si>
  <si>
    <t>KPI-011</t>
  </si>
  <si>
    <t>KRI-007,KRI-009</t>
  </si>
  <si>
    <t>INC-004</t>
  </si>
  <si>
    <t>EVD-006</t>
  </si>
  <si>
    <t>14/04/2026</t>
  </si>
  <si>
    <t>14/07/2026</t>
  </si>
  <si>
    <t>Sensitivity-label enforcement reviewed Apr-26</t>
  </si>
  <si>
    <t>Internal text-to-SQL assistant on a curated finance semantic layer; outputs reviewed before circulation.</t>
  </si>
  <si>
    <t>Faster MI cycle and free analyst time</t>
  </si>
  <si>
    <t>Internal plus vendor</t>
  </si>
  <si>
    <t>SVC-008</t>
  </si>
  <si>
    <t>RSK-008,RSK-013</t>
  </si>
  <si>
    <t>KRI-009</t>
  </si>
  <si>
    <t>RDM-008</t>
  </si>
  <si>
    <t>EVD-007</t>
  </si>
  <si>
    <t>01/03/2026</t>
  </si>
  <si>
    <t>01/06/2026</t>
  </si>
  <si>
    <t>Conditional on enhanced output validation</t>
  </si>
  <si>
    <t>AUC-008</t>
  </si>
  <si>
    <t>Knowledge Retrieval Assistant - Compliance</t>
  </si>
  <si>
    <t>Legal and Compliance</t>
  </si>
  <si>
    <t>RAG assistant indexed over policy library and FCA Handbook; restricted to Compliance Advisory team.</t>
  </si>
  <si>
    <t>Faster policy lookup and consistency</t>
  </si>
  <si>
    <t>Internal RAG</t>
  </si>
  <si>
    <t>Tier 3</t>
  </si>
  <si>
    <t>RSK-008</t>
  </si>
  <si>
    <t>CTL-006,CTL-013,CTL-016</t>
  </si>
  <si>
    <t>11/02/2026</t>
  </si>
  <si>
    <t>11/08/2026</t>
  </si>
  <si>
    <t>Audit log review monthly</t>
  </si>
  <si>
    <t>AUC-009</t>
  </si>
  <si>
    <t>Model Monitoring and Drift Detection Service</t>
  </si>
  <si>
    <t>Internal MLOps service providing drift, performance and bias monitoring; raises alerts via SIEM.</t>
  </si>
  <si>
    <t>Continuous assurance over deployed AI</t>
  </si>
  <si>
    <t>Internal MLOps</t>
  </si>
  <si>
    <t>RSK-001,RSK-002,RSK-006</t>
  </si>
  <si>
    <t>CTL-005,CTL-008,CTL-014</t>
  </si>
  <si>
    <t>KPI-002,KPI-003,KPI-004</t>
  </si>
  <si>
    <t>KRI-001,KRI-002,KRI-008</t>
  </si>
  <si>
    <t>INC-001</t>
  </si>
  <si>
    <t>EVD-009</t>
  </si>
  <si>
    <t>30/03/2026</t>
  </si>
  <si>
    <t>Coverage 92 percent of in-scope models</t>
  </si>
  <si>
    <t>AUC-010</t>
  </si>
  <si>
    <t>Pricing Optimisation - Personal Lines Motor</t>
  </si>
  <si>
    <t>Actuarial</t>
  </si>
  <si>
    <t>GLM/GBM hybrid pricing engine; subject to actuarial sign-off and pricing fairness review.</t>
  </si>
  <si>
    <t>Maintain combined ratio and competitive position</t>
  </si>
  <si>
    <t>RSK-001,RSK-004,RSK-011</t>
  </si>
  <si>
    <t>CTL-001,CTL-005,CTL-012,CTL-014</t>
  </si>
  <si>
    <t>KPI-002</t>
  </si>
  <si>
    <t>RDM-003</t>
  </si>
  <si>
    <t>EVD-010</t>
  </si>
  <si>
    <t>09/03/2026</t>
  </si>
  <si>
    <t>09/06/2026</t>
  </si>
  <si>
    <t>Pricing fairness review Mar-26</t>
  </si>
  <si>
    <t>NLP flags vulnerability indicators in contact-centre transcripts; routed to specialist team for human handling.</t>
  </si>
  <si>
    <t>Improve outcomes for vulnerable customers (Consumer Duty)</t>
  </si>
  <si>
    <t>VEN-004</t>
  </si>
  <si>
    <t>RSK-005,RSK-007,RSK-012</t>
  </si>
  <si>
    <t>CTL-003,CTL-008,CTL-015</t>
  </si>
  <si>
    <t>KRI-004,KRI-005</t>
  </si>
  <si>
    <t>EVD-011</t>
  </si>
  <si>
    <t>24/02/2026</t>
  </si>
  <si>
    <t>24/05/2026</t>
  </si>
  <si>
    <t>Consumer Duty quarterly review</t>
  </si>
  <si>
    <t>AUC-012</t>
  </si>
  <si>
    <t>Email Triage - Broker Operations</t>
  </si>
  <si>
    <t>Classifies inbound broker emails (quote, endorsement, claim, admin) and auto-routes.</t>
  </si>
  <si>
    <t>Reduce broker turnaround</t>
  </si>
  <si>
    <t>SVC-011</t>
  </si>
  <si>
    <t>Christopher Doyle</t>
  </si>
  <si>
    <t>RSK-006</t>
  </si>
  <si>
    <t>EVD-012</t>
  </si>
  <si>
    <t>19/01/2026</t>
  </si>
  <si>
    <t>19/07/2026</t>
  </si>
  <si>
    <t>Stable since Q4 2025</t>
  </si>
  <si>
    <t>Vector search over policy-wording PDFs surfaced via portal; constrained to policy-document corpus only.</t>
  </si>
  <si>
    <t>Reduce 'unable to find policy info' contacts</t>
  </si>
  <si>
    <t>Public</t>
  </si>
  <si>
    <t>RSK-005,RSK-008</t>
  </si>
  <si>
    <t>CTL-006,CTL-010,CTL-013</t>
  </si>
  <si>
    <t>KPI-010</t>
  </si>
  <si>
    <t>KRI-007</t>
  </si>
  <si>
    <t>INC-008</t>
  </si>
  <si>
    <t>EVD-013</t>
  </si>
  <si>
    <t>03/04/2026</t>
  </si>
  <si>
    <t>03/07/2026</t>
  </si>
  <si>
    <t>Hallucination filter tuned Apr-26</t>
  </si>
  <si>
    <t>AUC-014</t>
  </si>
  <si>
    <t>Sanctions and PEP Screening - Augmented Match</t>
  </si>
  <si>
    <t>ML overlay on sanctions screening reduces false positives; final decision by Compliance Officer.</t>
  </si>
  <si>
    <t>Reduce false-positive rate while maintaining regulatory robustness</t>
  </si>
  <si>
    <t>Vendor</t>
  </si>
  <si>
    <t>VEN-005</t>
  </si>
  <si>
    <t>SVC-012</t>
  </si>
  <si>
    <t>RSK-003,RSK-011,RSK-013</t>
  </si>
  <si>
    <t>EVD-014</t>
  </si>
  <si>
    <t>26/02/2026</t>
  </si>
  <si>
    <t>26/05/2026</t>
  </si>
  <si>
    <t>Annual independent validation Jul-26</t>
  </si>
  <si>
    <t>AUC-015</t>
  </si>
  <si>
    <t>Customer Churn Propensity - Renewal Retention</t>
  </si>
  <si>
    <t>Scores renewal book for likely churn; informs marketing offers within fairness guardrails.</t>
  </si>
  <si>
    <t>Lift renewal retention 1-2 pts</t>
  </si>
  <si>
    <t>SVC-013</t>
  </si>
  <si>
    <t>RSK-004,RSK-011</t>
  </si>
  <si>
    <t>CTL-001,CTL-005</t>
  </si>
  <si>
    <t>KRI-003</t>
  </si>
  <si>
    <t>EVD-015</t>
  </si>
  <si>
    <t>16/03/2026</t>
  </si>
  <si>
    <t>16/06/2026</t>
  </si>
  <si>
    <t>Bias review Q2 2026</t>
  </si>
  <si>
    <t>HR</t>
  </si>
  <si>
    <t>Pilot LLM-assisted CV summarisation only; humans make all selection decisions; no candidate scoring.</t>
  </si>
  <si>
    <t>Improve recruiter productivity</t>
  </si>
  <si>
    <t>Naomi Edwards</t>
  </si>
  <si>
    <t>RSK-005,RSK-011,RSK-012</t>
  </si>
  <si>
    <t>CTL-003,CTL-006,CTL-015</t>
  </si>
  <si>
    <t>EVD-016</t>
  </si>
  <si>
    <t>07/04/2026</t>
  </si>
  <si>
    <t>07/07/2026</t>
  </si>
  <si>
    <t>Quarterly bias review required</t>
  </si>
  <si>
    <t>AUC-017</t>
  </si>
  <si>
    <t>Cyber Threat Triage - SOC Copilot</t>
  </si>
  <si>
    <t>LLM-assisted triage of SIEM alerts; analysts review and decide on every action.</t>
  </si>
  <si>
    <t>Reduce mean-time-to-triage</t>
  </si>
  <si>
    <t>VEN-006</t>
  </si>
  <si>
    <t>RSK-008,RSK-010</t>
  </si>
  <si>
    <t>INC-007</t>
  </si>
  <si>
    <t>Technology Risk Committee</t>
  </si>
  <si>
    <t>EVD-017</t>
  </si>
  <si>
    <t>02/03/2026</t>
  </si>
  <si>
    <t>02/06/2026</t>
  </si>
  <si>
    <t>SOC effectiveness reviewed</t>
  </si>
  <si>
    <t>AUC-018</t>
  </si>
  <si>
    <t>Reserving Analytics Assistant</t>
  </si>
  <si>
    <t>ML-based reserve indication tool used as directional input; not a chain-ladder replacement.</t>
  </si>
  <si>
    <t>Faster reserve diagnostics</t>
  </si>
  <si>
    <t>KRI-001</t>
  </si>
  <si>
    <t>EVD-018</t>
  </si>
  <si>
    <t>21/03/2026</t>
  </si>
  <si>
    <t>21/06/2026</t>
  </si>
  <si>
    <t>Independent actuarial sign-off</t>
  </si>
  <si>
    <t>AUC-019</t>
  </si>
  <si>
    <t>Image-Based Damage Estimation - Motor</t>
  </si>
  <si>
    <t>CV estimates motor damage severity from photos; engineer validates before payment.</t>
  </si>
  <si>
    <t>Reduce engineer dispatch and improve cycle time</t>
  </si>
  <si>
    <t>Computer Vision</t>
  </si>
  <si>
    <t>RSK-002,RSK-006,RSK-009</t>
  </si>
  <si>
    <t>CTL-002,CTL-004,CTL-008</t>
  </si>
  <si>
    <t>KPI-003,KPI-008</t>
  </si>
  <si>
    <t>KRI-002,KRI-008</t>
  </si>
  <si>
    <t>INC-005</t>
  </si>
  <si>
    <t>EVD-019</t>
  </si>
  <si>
    <t>10/02/2026</t>
  </si>
  <si>
    <t>10/05/2026</t>
  </si>
  <si>
    <t>Engineer override rate trended monthly</t>
  </si>
  <si>
    <t>AUC-020</t>
  </si>
  <si>
    <t>Complaints Categorisation and Root Cause Themes</t>
  </si>
  <si>
    <t>NLP categorises complaints and clusters root cause themes for Consumer Duty MI.</t>
  </si>
  <si>
    <t>Quicker theme detection and reporting</t>
  </si>
  <si>
    <t>KRI-004</t>
  </si>
  <si>
    <t>EVD-020</t>
  </si>
  <si>
    <t>27/03/2026</t>
  </si>
  <si>
    <t>27/06/2026</t>
  </si>
  <si>
    <t>Aligned with Consumer Duty MI</t>
  </si>
  <si>
    <t>AUC-021</t>
  </si>
  <si>
    <t>Cloud Cost Anomaly Detection</t>
  </si>
  <si>
    <t>Detects abnormal cloud spend patterns across Azure subscriptions; alerts FinOps.</t>
  </si>
  <si>
    <t>Avoid run-rate surprises</t>
  </si>
  <si>
    <t>RSK-010,RSK-013</t>
  </si>
  <si>
    <t>CTL-005,CTL-016</t>
  </si>
  <si>
    <t>EVD-021</t>
  </si>
  <si>
    <t>08/04/2026</t>
  </si>
  <si>
    <t>08/10/2026</t>
  </si>
  <si>
    <t>Stable; low alert volume</t>
  </si>
  <si>
    <t>AUC-022</t>
  </si>
  <si>
    <t>Internal Audit Analytics - Continuous Auditing</t>
  </si>
  <si>
    <t>Internal audit analytics over GL, claims and procurement to flag anomalies for follow-up.</t>
  </si>
  <si>
    <t>Risk-based, evidence-driven audit coverage</t>
  </si>
  <si>
    <t>Liam Carmichael</t>
  </si>
  <si>
    <t>RSK-013</t>
  </si>
  <si>
    <t>CTL-005,CTL-014</t>
  </si>
  <si>
    <t>EVD-022</t>
  </si>
  <si>
    <t>13/03/2026</t>
  </si>
  <si>
    <t>13/09/2026</t>
  </si>
  <si>
    <t>Reviewed annually with CAE</t>
  </si>
  <si>
    <t>Governance Framework - AI Governance Committees and Forums</t>
  </si>
  <si>
    <t>Decision-making and oversight forums for AI security and governance. Owner Company Secretariat and Risk.</t>
  </si>
  <si>
    <t>Committee ID</t>
  </si>
  <si>
    <t>Committee Name</t>
  </si>
  <si>
    <t>Mandate</t>
  </si>
  <si>
    <t>Chair</t>
  </si>
  <si>
    <t>Membership</t>
  </si>
  <si>
    <t>Escalation Route</t>
  </si>
  <si>
    <t>Reporting Outputs</t>
  </si>
  <si>
    <t>Key Decisions Held</t>
  </si>
  <si>
    <t>COM-001</t>
  </si>
  <si>
    <t>Operational governance of AI use cases</t>
  </si>
  <si>
    <t>Approve, conditionally approve or reject AI use cases below ExCo threshold; oversee assurance status; review incidents.</t>
  </si>
  <si>
    <t>Chief Data Officer (Andrew Pollard)</t>
  </si>
  <si>
    <t>CISO, CDO, Head of Risk, Head of Compliance, Head of Data Science, AI Security Manager, DPO, business sponsors</t>
  </si>
  <si>
    <t>Risk Committee then ExCo</t>
  </si>
  <si>
    <t>Monthly forum pack; minutes; decisions log</t>
  </si>
  <si>
    <t>Use case approvals, conditional approvals, model retirements</t>
  </si>
  <si>
    <t>POL-001,POL-002,POL-003</t>
  </si>
  <si>
    <t>COM-002</t>
  </si>
  <si>
    <t>Independent challenge of model risk for material AI/ML</t>
  </si>
  <si>
    <t>Apply MRM standard (POL-004) to validate and monitor material models.</t>
  </si>
  <si>
    <t>CRO (Geoffrey Sanders)</t>
  </si>
  <si>
    <t>CRO, CFO, Head of Actuarial, CDO, AI Security Manager, MRM Lead</t>
  </si>
  <si>
    <t>Risk Committee</t>
  </si>
  <si>
    <t>MRM dashboard; validation reports</t>
  </si>
  <si>
    <t>Model approvals, validation outcomes, risk acceptances</t>
  </si>
  <si>
    <t>POL-004,POL-002</t>
  </si>
  <si>
    <t>COM-003</t>
  </si>
  <si>
    <t>IT, cloud and security risk oversight</t>
  </si>
  <si>
    <t>Oversee technology risk across estate including AI workloads.</t>
  </si>
  <si>
    <t>CIO (Stephen Mackenzie)</t>
  </si>
  <si>
    <t>CIO, CISO, Head of IT, Head of Cloud, AI Security Manager, Risk rep</t>
  </si>
  <si>
    <t>Tech risk pack; KRI dashboard</t>
  </si>
  <si>
    <t>Risk acceptances, exceptions, programme decisions</t>
  </si>
  <si>
    <t>POL-005,POL-006</t>
  </si>
  <si>
    <t>COM-004</t>
  </si>
  <si>
    <t>Executive committee</t>
  </si>
  <si>
    <t>Oversight of strategic risks and material decisions including AI.</t>
  </si>
  <si>
    <t>CEO (Margaret Whittaker)</t>
  </si>
  <si>
    <t>CEO, CRO, CFO, CIO, CDO, COO, GC</t>
  </si>
  <si>
    <t>Weekly</t>
  </si>
  <si>
    <t>Board</t>
  </si>
  <si>
    <t>ExCo papers; minutes</t>
  </si>
  <si>
    <t>Strategic AI investment, escalations</t>
  </si>
  <si>
    <t>POL-001</t>
  </si>
  <si>
    <t>COM-005</t>
  </si>
  <si>
    <t>Board-level risk oversight</t>
  </si>
  <si>
    <t>Assurance over enterprise risk including AI.</t>
  </si>
  <si>
    <t>NED Risk Chair (Patricia Donnelly)</t>
  </si>
  <si>
    <t>NEDs, CEO, CRO</t>
  </si>
  <si>
    <t>Board risk pack</t>
  </si>
  <si>
    <t>Risk appetite, material risk decisions</t>
  </si>
  <si>
    <t>POL-001,POL-002</t>
  </si>
  <si>
    <t>COM-006</t>
  </si>
  <si>
    <t>Audit Committee (Board)</t>
  </si>
  <si>
    <t>Board-level audit oversight</t>
  </si>
  <si>
    <t>Internal/external audit oversight including AI assurance.</t>
  </si>
  <si>
    <t>NED Audit Chair (Robert Henshaw)</t>
  </si>
  <si>
    <t>NEDs, CFO, CAE</t>
  </si>
  <si>
    <t>Board audit pack</t>
  </si>
  <si>
    <t>Audit findings, remediation acceptance</t>
  </si>
  <si>
    <t>COM-007</t>
  </si>
  <si>
    <t>Privacy and data protection oversight</t>
  </si>
  <si>
    <t>Operational forum for privacy obligations across business lines.</t>
  </si>
  <si>
    <t>DPO (Rebecca Lloyd)</t>
  </si>
  <si>
    <t>DPO, Privacy Champions, AI Security Manager, IS, Legal</t>
  </si>
  <si>
    <t>DP forum pack; DPIA log</t>
  </si>
  <si>
    <t>DPIA outcomes, breach notifications</t>
  </si>
  <si>
    <t>POL-008,POL-003</t>
  </si>
  <si>
    <t>COM-008</t>
  </si>
  <si>
    <t>Third-party risk oversight</t>
  </si>
  <si>
    <t>Onboarding, ongoing oversight and exit planning for material third parties.</t>
  </si>
  <si>
    <t>Procurement Director (Nigel Ashton)</t>
  </si>
  <si>
    <t>Procurement, IS, Risk, Legal, AI Security Manager, business owners</t>
  </si>
  <si>
    <t>TPRM pack; vendor heatmap</t>
  </si>
  <si>
    <t>Vendor approvals, exits, contractual changes</t>
  </si>
  <si>
    <t>COM-009</t>
  </si>
  <si>
    <t>Operational Resilience Committee</t>
  </si>
  <si>
    <t>Operational resilience and continuity oversight</t>
  </si>
  <si>
    <t>Important Business Service mapping, severe but plausible scenarios, exercise programme.</t>
  </si>
  <si>
    <t>COO (Yvonne Mathieson)</t>
  </si>
  <si>
    <t>COO, CIO, CISO, Head of BCP, Risk, AI Security Manager</t>
  </si>
  <si>
    <t>OR pack; exercise reports</t>
  </si>
  <si>
    <t>IBS designations, exercise outcomes</t>
  </si>
  <si>
    <t>POL-010</t>
  </si>
  <si>
    <t>RACI Matrix - AI Security and Governance Activities</t>
  </si>
  <si>
    <t>Activity-level responsibilities across the AI lifecycle. R = Responsible, A = Accountable, C = Consulted, I = Informed. Owner AI Security Manager. Cadence reviewed annually.</t>
  </si>
  <si>
    <t>Activity ID</t>
  </si>
  <si>
    <t>Activity</t>
  </si>
  <si>
    <t>CRO / Risk</t>
  </si>
  <si>
    <t>DPO / Compliance</t>
  </si>
  <si>
    <t>Data Science / MLOps</t>
  </si>
  <si>
    <t>Procurement / TPRM</t>
  </si>
  <si>
    <t>Tech / Cloud Ops</t>
  </si>
  <si>
    <t>ACT-RACI-01</t>
  </si>
  <si>
    <t>AI Use Case Onboarding and Intake Triage</t>
  </si>
  <si>
    <t>A</t>
  </si>
  <si>
    <t>R</t>
  </si>
  <si>
    <t>C</t>
  </si>
  <si>
    <t>I</t>
  </si>
  <si>
    <t>POL-001,POL-003</t>
  </si>
  <si>
    <t>ACT-RACI-02</t>
  </si>
  <si>
    <t>Model and Vendor Due Diligence Review</t>
  </si>
  <si>
    <t>POL-004,POL-009</t>
  </si>
  <si>
    <t>ACT-RACI-03</t>
  </si>
  <si>
    <t>AI Risk Assessment and Quantification</t>
  </si>
  <si>
    <t>ACT-RACI-04</t>
  </si>
  <si>
    <t>DPIA and Privacy Review</t>
  </si>
  <si>
    <t>A,R</t>
  </si>
  <si>
    <t>ACT-RACI-05</t>
  </si>
  <si>
    <t>Security Assessment and Threat Modelling</t>
  </si>
  <si>
    <t>ACT-RACI-06</t>
  </si>
  <si>
    <t>Use Case Approval Decision (AI Governance Forum)</t>
  </si>
  <si>
    <t>ACT-RACI-07</t>
  </si>
  <si>
    <t>Pre-Deployment Review and Sign-off</t>
  </si>
  <si>
    <t>POL-002,POL-004</t>
  </si>
  <si>
    <t>ACT-RACI-08</t>
  </si>
  <si>
    <t>Production Monitoring (drift, bias, performance)</t>
  </si>
  <si>
    <t>POL-004,POL-006</t>
  </si>
  <si>
    <t>ACT-RACI-09</t>
  </si>
  <si>
    <t>Incident Detection, Triage and Response</t>
  </si>
  <si>
    <t>ACT-RACI-10</t>
  </si>
  <si>
    <t>Access Provisioning and Periodic Recertification</t>
  </si>
  <si>
    <t>ACT-RACI-11</t>
  </si>
  <si>
    <t>Audit Evidence Collection and Control Testing</t>
  </si>
  <si>
    <t>ACT-RACI-12</t>
  </si>
  <si>
    <t>Audit Response and Remediation Tracking</t>
  </si>
  <si>
    <t>ACT-RACI-13</t>
  </si>
  <si>
    <t>Business Continuity Test and Exercise (AI services)</t>
  </si>
  <si>
    <t>ACT-RACI-14</t>
  </si>
  <si>
    <t>Third-Party Onboarding and Annual Vendor Review</t>
  </si>
  <si>
    <t>ACT-RACI-15</t>
  </si>
  <si>
    <t>Model Decommissioning and Retirement</t>
  </si>
  <si>
    <t>ACT-RACI-16</t>
  </si>
  <si>
    <t>Policy and Standard Approval / Review</t>
  </si>
  <si>
    <t>ACT-RACI-17</t>
  </si>
  <si>
    <t>Training and Awareness for AI Users</t>
  </si>
  <si>
    <t>ACT-RACI-18</t>
  </si>
  <si>
    <t>Use Case Periodic Review (Quarterly)</t>
  </si>
  <si>
    <t>POL-001,POL-004</t>
  </si>
  <si>
    <t>Service Catalog Master - AI Security and Governance Services</t>
  </si>
  <si>
    <t>Catalogue of services delivered by the AI Security function. Owner AI Security Manager. Cadence half-yearly review.</t>
  </si>
  <si>
    <t>Service Name</t>
  </si>
  <si>
    <t>Service Category</t>
  </si>
  <si>
    <t>Intake Route</t>
  </si>
  <si>
    <t>Service Owner</t>
  </si>
  <si>
    <t>Customer Group</t>
  </si>
  <si>
    <t>Linked KPIs</t>
  </si>
  <si>
    <t>Service Outputs</t>
  </si>
  <si>
    <t>Dependency Notes</t>
  </si>
  <si>
    <t>Assurance Relevance</t>
  </si>
  <si>
    <t>AI Use Case Intake and Triage</t>
  </si>
  <si>
    <t>Single intake point for new AI use cases; initial materiality, data, regulatory and security screening.</t>
  </si>
  <si>
    <t>ServiceNow intake form</t>
  </si>
  <si>
    <t>Business sponsors</t>
  </si>
  <si>
    <t>AUC-001 to AUC-022 (all)</t>
  </si>
  <si>
    <t>CTL-001,CTL-003</t>
  </si>
  <si>
    <t>Intake decision pack; routing to forums</t>
  </si>
  <si>
    <t>ServiceNow form; AI inventory</t>
  </si>
  <si>
    <t>High</t>
  </si>
  <si>
    <t>Underwriting and Pricing Model Assurance</t>
  </si>
  <si>
    <t>Independent challenge of pricing and UW models including fairness, performance, governance.</t>
  </si>
  <si>
    <t>Underwriting, Actuarial</t>
  </si>
  <si>
    <t>AUC-001,AUC-010,AUC-015,AUC-018</t>
  </si>
  <si>
    <t>Model assurance reports; sign-off papers</t>
  </si>
  <si>
    <t>MLOps platform; model registry</t>
  </si>
  <si>
    <t>Claims AI Service Operations</t>
  </si>
  <si>
    <t>Operational service for claims-facing AI: monitoring, change, incident, drift response.</t>
  </si>
  <si>
    <t>AUC-002,AUC-019</t>
  </si>
  <si>
    <t>Monitoring reports; change records</t>
  </si>
  <si>
    <t>MLOps; SIEM; ServiceNow</t>
  </si>
  <si>
    <t>Fraud Analytics Model Oversight</t>
  </si>
  <si>
    <t>Oversight of fraud detection models including fairness, false-positive monitoring, SIU feedback.</t>
  </si>
  <si>
    <t>SIU, Claims</t>
  </si>
  <si>
    <t>AUC-003,AUC-014</t>
  </si>
  <si>
    <t>Performance and FPR reports; SIU feedback log</t>
  </si>
  <si>
    <t>Fraud platform; SIU case mgmt</t>
  </si>
  <si>
    <t>Customer-Facing AI Risk Service</t>
  </si>
  <si>
    <t>Operational service for customer-facing AI tools: real-time guardrails, output review, complaint linkage.</t>
  </si>
  <si>
    <t>AUC-004,AUC-011</t>
  </si>
  <si>
    <t>CTL-003,CTL-006,CTL-008,CTL-010,CTL-015</t>
  </si>
  <si>
    <t>Guardrail logs; sample reviews; complaint links</t>
  </si>
  <si>
    <t>Vendor LLM; CCaaS; complaints system</t>
  </si>
  <si>
    <t>Document AI Quality Assurance</t>
  </si>
  <si>
    <t>QA over document AI extractions; sample review and downstream impact monitoring.</t>
  </si>
  <si>
    <t>ServiceNow</t>
  </si>
  <si>
    <t>Claims, Operations</t>
  </si>
  <si>
    <t>AUC-005,AUC-019</t>
  </si>
  <si>
    <t>QA sample report; reject-rate trend</t>
  </si>
  <si>
    <t>DMS; OCR/NLP platform</t>
  </si>
  <si>
    <t>Medium</t>
  </si>
  <si>
    <t>GenAI Productivity Tooling Service</t>
  </si>
  <si>
    <t>Service for internal GenAI productivity tools: licensing, usage controls, sensitivity-label enforcement.</t>
  </si>
  <si>
    <t>All staff</t>
  </si>
  <si>
    <t>AUC-006,AUC-016</t>
  </si>
  <si>
    <t>Usage MI; DLP exception log</t>
  </si>
  <si>
    <t>Microsoft Purview; M365</t>
  </si>
  <si>
    <t>Internal Analytics and MI Assistant Service</t>
  </si>
  <si>
    <t>Service for internal analytics assistants including MI/reporting and reserving analytics.</t>
  </si>
  <si>
    <t>Finance, Actuarial, IA</t>
  </si>
  <si>
    <t>AUC-007,AUC-018,AUC-022</t>
  </si>
  <si>
    <t>Curated semantic layer; output validation log</t>
  </si>
  <si>
    <t>Data platform; semantic layer</t>
  </si>
  <si>
    <t>Compliance and Knowledge Assistant Service</t>
  </si>
  <si>
    <t>Service supporting compliance/knowledge assistants and policy-wording search.</t>
  </si>
  <si>
    <t>Compliance, Customers</t>
  </si>
  <si>
    <t>AUC-008,AUC-013,AUC-020</t>
  </si>
  <si>
    <t>CTL-006,CTL-010,CTL-013,CTL-015,CTL-016</t>
  </si>
  <si>
    <t>RAG corpus controls; output sample reviews</t>
  </si>
  <si>
    <t>Vector DB; policy library</t>
  </si>
  <si>
    <t>Model Monitoring and Drift Service</t>
  </si>
  <si>
    <t>Cross-model monitoring service for drift, performance, bias and incidents.</t>
  </si>
  <si>
    <t>All AI owners</t>
  </si>
  <si>
    <t>Drift dashboards; alert tickets</t>
  </si>
  <si>
    <t>MLOps; SIEM</t>
  </si>
  <si>
    <t>Broker AI Channel Operations</t>
  </si>
  <si>
    <t>Operational service for distribution-channel AI.</t>
  </si>
  <si>
    <t>AUC-012,AUC-015</t>
  </si>
  <si>
    <t>Routing accuracy MI</t>
  </si>
  <si>
    <t>Email gateway; CRM</t>
  </si>
  <si>
    <t>Sanctions and Screening Augmentation Service</t>
  </si>
  <si>
    <t>Oversight service for ML-augmented sanctions/PEP screening.</t>
  </si>
  <si>
    <t>Compliance Forum</t>
  </si>
  <si>
    <t>FPR analysis; tuning records</t>
  </si>
  <si>
    <t>Vendor screening</t>
  </si>
  <si>
    <t>Marketing and Retention AI Service</t>
  </si>
  <si>
    <t>Service for retention/marketing AI use cases including fairness review.</t>
  </si>
  <si>
    <t>Distribution, Marketing</t>
  </si>
  <si>
    <t>Fairness checks; campaign log</t>
  </si>
  <si>
    <t>Marketing platform</t>
  </si>
  <si>
    <t>Cloud and SOC AI Operations</t>
  </si>
  <si>
    <t>Cloud security and SOC support service for AI workloads.</t>
  </si>
  <si>
    <t>AUC-017,AUC-021</t>
  </si>
  <si>
    <t>CTL-005,CTL-006,CTL-010,CTL-013,CTL-016</t>
  </si>
  <si>
    <t>Cloud posture report; SOC playbooks</t>
  </si>
  <si>
    <t>Azure; SIEM; SOAR</t>
  </si>
  <si>
    <t>Third-Party AI Assurance Service</t>
  </si>
  <si>
    <t>Due diligence and ongoing assurance over third-party AI providers.</t>
  </si>
  <si>
    <t>Procurement intake</t>
  </si>
  <si>
    <t>Procurement, Risk</t>
  </si>
  <si>
    <t>AUC-004,AUC-005,AUC-006,AUC-008,AUC-013,AUC-017,AUC-019</t>
  </si>
  <si>
    <t>Vendor DD packs; ongoing monitoring</t>
  </si>
  <si>
    <t>GRC; procurement system</t>
  </si>
  <si>
    <t>SLA-SLO Definitions - Service Level Agreements and Objectives</t>
  </si>
  <si>
    <t>Service-level commitments for AI security and governance services. Owner AI Security Manager. Reviewed semi-annually.</t>
  </si>
  <si>
    <t>SLA Response Target</t>
  </si>
  <si>
    <t>SLA Resolution Target</t>
  </si>
  <si>
    <t>SLO Quality Measure</t>
  </si>
  <si>
    <t>Measurement Source</t>
  </si>
  <si>
    <t>Breach Rule</t>
  </si>
  <si>
    <t>Exclusions</t>
  </si>
  <si>
    <t>Severity Treatment</t>
  </si>
  <si>
    <t>Reporting Cadence</t>
  </si>
  <si>
    <t>Within 2 working days</t>
  </si>
  <si>
    <t>Decision pack within 10 working days</t>
  </si>
  <si>
    <t>&gt;=95% of intakes triaged on time</t>
  </si>
  <si>
    <t>ServiceNow report</t>
  </si>
  <si>
    <t>Two consecutive months below 90%</t>
  </si>
  <si>
    <t>Use cases requiring DPIA extension</t>
  </si>
  <si>
    <t>Sev 1: same day; Sev 2: next working day</t>
  </si>
  <si>
    <t>Within 5 working days</t>
  </si>
  <si>
    <t>Assurance pack within 20 working days</t>
  </si>
  <si>
    <t>&gt;=98% pricing models with current assurance</t>
  </si>
  <si>
    <t>Model registry MI</t>
  </si>
  <si>
    <t>&gt;2 models without current assurance</t>
  </si>
  <si>
    <t>Model retirements in flight</t>
  </si>
  <si>
    <t>Critical: emergency MRC review</t>
  </si>
  <si>
    <t>Within 4 hours (Sev 1)</t>
  </si>
  <si>
    <t>Within 8 working hours (Sev 1)</t>
  </si>
  <si>
    <t>&gt;=99.5% in-month uptime; &lt;=2 Sev1 incidents/month</t>
  </si>
  <si>
    <t>SIEM and ServiceNow</t>
  </si>
  <si>
    <t>Single Sev 1 outage &gt; 8 hours</t>
  </si>
  <si>
    <t>Planned maintenance windows</t>
  </si>
  <si>
    <t>Sev 1: page on-call; Sev 2: ticket within 1h</t>
  </si>
  <si>
    <t>Within 15 working days</t>
  </si>
  <si>
    <t>False-positive rate within agreed band</t>
  </si>
  <si>
    <t>Fraud platform MI</t>
  </si>
  <si>
    <t>FPR &gt; target +20% for 2 months</t>
  </si>
  <si>
    <t>Threshold change windows</t>
  </si>
  <si>
    <t>Sev 2 ticket if FPR breached</t>
  </si>
  <si>
    <t>Within 2 hours (live customer impact)</t>
  </si>
  <si>
    <t>Within 4 hours (live customer impact)</t>
  </si>
  <si>
    <t>&gt;=99% guardrail availability</t>
  </si>
  <si>
    <t>Vendor MI plus internal logs</t>
  </si>
  <si>
    <t>Single guardrail outage &gt; 1 hour in production</t>
  </si>
  <si>
    <t>Vendor maintenance windows</t>
  </si>
  <si>
    <t>Sev 1: page on-call; complaint linkage required</t>
  </si>
  <si>
    <t>&gt;=98% QA sample reviews on time</t>
  </si>
  <si>
    <t>ServiceNow plus QA tracker</t>
  </si>
  <si>
    <t>Two consecutive months &lt;95%</t>
  </si>
  <si>
    <t>Vendor outages</t>
  </si>
  <si>
    <t>Sev 3 ticket if QA backlog &gt; 10 days</t>
  </si>
  <si>
    <t>Within 1 working day</t>
  </si>
  <si>
    <t>&gt;=95% DLP exception decisions on time</t>
  </si>
  <si>
    <t>Microsoft Purview MI</t>
  </si>
  <si>
    <t>Pending exceptions &gt; 7 days</t>
  </si>
  <si>
    <t>Major vendor incidents</t>
  </si>
  <si>
    <t>Sev 2: ticket within 4h</t>
  </si>
  <si>
    <t>Within 3 working days</t>
  </si>
  <si>
    <t>Within 10 working days</t>
  </si>
  <si>
    <t>&gt;=95% queries with output validation</t>
  </si>
  <si>
    <t>Internal logs</t>
  </si>
  <si>
    <t>Output validation rate &lt; 90% for any month</t>
  </si>
  <si>
    <t>Restricted analyst groups</t>
  </si>
  <si>
    <t>Sev 3 ticket if validation gap</t>
  </si>
  <si>
    <t>&gt;=98% sample reviews completed monthly</t>
  </si>
  <si>
    <t>Sample review backlog &gt; 5</t>
  </si>
  <si>
    <t>Audit log gaps notified</t>
  </si>
  <si>
    <t>Sev 2 ticket if backlog grows</t>
  </si>
  <si>
    <t>Within 1 hour (alert acknowledgement)</t>
  </si>
  <si>
    <t>Within 8 hours (drift triage)</t>
  </si>
  <si>
    <t>&gt;=98% in-scope models monitored</t>
  </si>
  <si>
    <t>MLOps platform</t>
  </si>
  <si>
    <t>Coverage &lt; 95% in any month</t>
  </si>
  <si>
    <t>Models in retirement</t>
  </si>
  <si>
    <t>Sev 1: page MLOps on-call</t>
  </si>
  <si>
    <t>Within 4 working hours</t>
  </si>
  <si>
    <t>&gt;=98% routing accuracy</t>
  </si>
  <si>
    <t>CRM and email gateway logs</t>
  </si>
  <si>
    <t>Routing accuracy &lt; 95% for any week</t>
  </si>
  <si>
    <t>Sev 3 ticket if accuracy slips</t>
  </si>
  <si>
    <t>False-positive rate &lt; target threshold</t>
  </si>
  <si>
    <t>Vendor screening MI</t>
  </si>
  <si>
    <t>FPR breach for 2 consecutive weeks</t>
  </si>
  <si>
    <t>Critical: Compliance escalation</t>
  </si>
  <si>
    <t>Fairness checks completed before campaign go-live</t>
  </si>
  <si>
    <t>Marketing platform records</t>
  </si>
  <si>
    <t>Campaign launched without fairness sign-off</t>
  </si>
  <si>
    <t>Test/control groups</t>
  </si>
  <si>
    <t>Within 15 minutes (Sev 1 alerts)</t>
  </si>
  <si>
    <t>Within 4 hours (Sev 1 containment)</t>
  </si>
  <si>
    <t>&gt;=99.9% control coverage on AI workloads</t>
  </si>
  <si>
    <t>Sentinel and CSPM MI</t>
  </si>
  <si>
    <t>Coverage &lt; 99% in any month</t>
  </si>
  <si>
    <t>Pre-prod environments</t>
  </si>
  <si>
    <t>Sev 1: page SOC on-call</t>
  </si>
  <si>
    <t>Within 30 working days for full DD pack</t>
  </si>
  <si>
    <t>&gt;=95% Tier-1 vendors with current DD</t>
  </si>
  <si>
    <t>GRC tracker</t>
  </si>
  <si>
    <t>Tier-1 vendor with overdue DD</t>
  </si>
  <si>
    <t>Cross-cutting/exit-only vendors</t>
  </si>
  <si>
    <t>Critical: TPRM forum escalation</t>
  </si>
  <si>
    <t>Service Request Log - AI Security Service Demand</t>
  </si>
  <si>
    <t>Historic and in-flight requests against the AI Security service catalog. Owner AI Security Manager. Live ServiceNow extract refreshed weekly.</t>
  </si>
  <si>
    <t>Request ID</t>
  </si>
  <si>
    <t>Date Raised</t>
  </si>
  <si>
    <t>Request Category</t>
  </si>
  <si>
    <t>Requestor BU</t>
  </si>
  <si>
    <t>Priority</t>
  </si>
  <si>
    <t>Completion Date</t>
  </si>
  <si>
    <t>Ageing (days)</t>
  </si>
  <si>
    <t>SLA Met</t>
  </si>
  <si>
    <t>Linked Use Case ID</t>
  </si>
  <si>
    <t>Comments</t>
  </si>
  <si>
    <t>Service Request Summary</t>
  </si>
  <si>
    <t>REQ-2026-001</t>
  </si>
  <si>
    <t>New Use Case Intake</t>
  </si>
  <si>
    <t>Closed</t>
  </si>
  <si>
    <t>Smart Search portal go-live decision pack</t>
  </si>
  <si>
    <t>Total Requests</t>
  </si>
  <si>
    <t>REQ-2026-002</t>
  </si>
  <si>
    <t>Vendor Assessment</t>
  </si>
  <si>
    <t>Sentinel Copilot for Security DD</t>
  </si>
  <si>
    <t>REQ-2026-003</t>
  </si>
  <si>
    <t>DPIA</t>
  </si>
  <si>
    <t>Critical</t>
  </si>
  <si>
    <t>DPIA refresh for voice agent assist</t>
  </si>
  <si>
    <t>REQ-2026-004</t>
  </si>
  <si>
    <t>Policy Exception</t>
  </si>
  <si>
    <t>Temporary DLP exception for Finance pilot</t>
  </si>
  <si>
    <t>REQ-2026-005</t>
  </si>
  <si>
    <t>Security Review</t>
  </si>
  <si>
    <t>MLOps environment hardening review</t>
  </si>
  <si>
    <t>REQ-2026-006</t>
  </si>
  <si>
    <t>HR CV summarisation pilot intake</t>
  </si>
  <si>
    <t>SLA Missed</t>
  </si>
  <si>
    <t>REQ-2026-007</t>
  </si>
  <si>
    <t>Incident Triage</t>
  </si>
  <si>
    <t>FNOL drift alert - INC-001</t>
  </si>
  <si>
    <t>Critical/High</t>
  </si>
  <si>
    <t>REQ-2026-008</t>
  </si>
  <si>
    <t>Compliance RAG knowledge assistant</t>
  </si>
  <si>
    <t>Avg Ageing (closed)</t>
  </si>
  <si>
    <t>REQ-2026-009</t>
  </si>
  <si>
    <t>Audit Evidence</t>
  </si>
  <si>
    <t>UW model assurance pack for IA walkthrough</t>
  </si>
  <si>
    <t>REQ-2026-010</t>
  </si>
  <si>
    <t>Voice agent INC-003 follow-up</t>
  </si>
  <si>
    <t>REQ-2026-011</t>
  </si>
  <si>
    <t>ABBYY privacy review refresh - ACT-002</t>
  </si>
  <si>
    <t>REQ-2026-012</t>
  </si>
  <si>
    <t>Access Provisioning</t>
  </si>
  <si>
    <t>PAM grants for MLOps engineers</t>
  </si>
  <si>
    <t>REQ-2026-013</t>
  </si>
  <si>
    <t>Churn propensity refresh intake</t>
  </si>
  <si>
    <t>REQ-2026-014</t>
  </si>
  <si>
    <t>Training Request</t>
  </si>
  <si>
    <t>Low</t>
  </si>
  <si>
    <t>Floor walk for new agents on copilot guardrails</t>
  </si>
  <si>
    <t>REQ-2026-015</t>
  </si>
  <si>
    <t>Model Change</t>
  </si>
  <si>
    <t>GBM challenger swap; SLA missed by 1 day</t>
  </si>
  <si>
    <t>REQ-2026-016</t>
  </si>
  <si>
    <t>Hallucination filter alert INC-008</t>
  </si>
  <si>
    <t>REQ-2026-017</t>
  </si>
  <si>
    <t>Awaiting bias review sign-off</t>
  </si>
  <si>
    <t>REQ-2026-018</t>
  </si>
  <si>
    <t>Fraud model walkthrough pack</t>
  </si>
  <si>
    <t>REQ-2026-019</t>
  </si>
  <si>
    <t>Conditional approval extended to month-end MI</t>
  </si>
  <si>
    <t>REQ-2026-020</t>
  </si>
  <si>
    <t>Cloud cost anomaly platform review</t>
  </si>
  <si>
    <t>REQ-2026-021</t>
  </si>
  <si>
    <t>Drift QA evidence for ISO 42001 readiness</t>
  </si>
  <si>
    <t>REQ-2026-022</t>
  </si>
  <si>
    <t>Tractable security review refresh - ACT-005</t>
  </si>
  <si>
    <t>REQ-2026-023</t>
  </si>
  <si>
    <t>Compliance RAG corpus expansion DPIA</t>
  </si>
  <si>
    <t>REQ-2026-024</t>
  </si>
  <si>
    <t>Reserving assistant scope extension</t>
  </si>
  <si>
    <t>KRI Tracking - Key Risk Indicators for AI Security and Governance</t>
  </si>
  <si>
    <t>Threshold-based KRIs reported monthly to AI Governance Forum and Risk Committee. Owner AI Security Manager.</t>
  </si>
  <si>
    <t>KRI ID</t>
  </si>
  <si>
    <t>KRI Name</t>
  </si>
  <si>
    <t>Linked Risk ID</t>
  </si>
  <si>
    <t>Linked Use Case/Vendor</t>
  </si>
  <si>
    <t>Threshold (Amber)</t>
  </si>
  <si>
    <t>Threshold (Red)</t>
  </si>
  <si>
    <t>Current Value</t>
  </si>
  <si>
    <t>Target Value</t>
  </si>
  <si>
    <t>Trend</t>
  </si>
  <si>
    <t>Breach Status</t>
  </si>
  <si>
    <t>Action / Escalation</t>
  </si>
  <si>
    <t>Escalation Flag</t>
  </si>
  <si>
    <t>KRI Summary</t>
  </si>
  <si>
    <t>Models with material drift in last 30 days</t>
  </si>
  <si>
    <t>AUC-001,AUC-009,AUC-010,AUC-018</t>
  </si>
  <si>
    <t>Improving</t>
  </si>
  <si>
    <t>One model under remediation; champion-challenger live; review at AIGF May-26</t>
  </si>
  <si>
    <t>02/05/2026</t>
  </si>
  <si>
    <t>BAU</t>
  </si>
  <si>
    <t>Total KRIs</t>
  </si>
  <si>
    <t>KRI-002</t>
  </si>
  <si>
    <t>Tier-1 models without current monitoring coverage</t>
  </si>
  <si>
    <t>RSK-002</t>
  </si>
  <si>
    <t>Coverage 100% across Tier-1; maintain BAU</t>
  </si>
  <si>
    <t>Red Breaches</t>
  </si>
  <si>
    <t>Pricing fairness review breaches outstanding</t>
  </si>
  <si>
    <t>Q1 review clean; Q2 review scheduled Jun-26</t>
  </si>
  <si>
    <t>Customer-facing AI complaints linked to AI behaviour (rolling 90d)</t>
  </si>
  <si>
    <t>AUC-004,AUC-011,AUC-020</t>
  </si>
  <si>
    <t>&lt;=2</t>
  </si>
  <si>
    <t>Output filter retuned; complaint root-cause review live</t>
  </si>
  <si>
    <t>KRI-005</t>
  </si>
  <si>
    <t>Vulnerable customer cases handled outside specialist team</t>
  </si>
  <si>
    <t>RSK-012</t>
  </si>
  <si>
    <t>AUC-002,AUC-011</t>
  </si>
  <si>
    <t>One case under PIR; routing rule update in flight</t>
  </si>
  <si>
    <t>Improving Trend</t>
  </si>
  <si>
    <t>Sanctions/fraud false-negative incidents (rolling 90d)</t>
  </si>
  <si>
    <t>RSK-003</t>
  </si>
  <si>
    <t>No detected FN; vendor signals improving</t>
  </si>
  <si>
    <t>Deteriorating Trend</t>
  </si>
  <si>
    <t>DLP exceptions raised on GenAI tools (per month)</t>
  </si>
  <si>
    <t>AUC-004,AUC-006,AUC-013,AUC-016</t>
  </si>
  <si>
    <t>&lt;=8</t>
  </si>
  <si>
    <t>Deteriorating</t>
  </si>
  <si>
    <t>Targeted training to top-3 BUs; Purview labels reviewed</t>
  </si>
  <si>
    <t>Document AI extraction reject rate</t>
  </si>
  <si>
    <t>AUC-005,AUC-012,AUC-019,AUC-022</t>
  </si>
  <si>
    <t>&lt;=3</t>
  </si>
  <si>
    <t>Within target; weekly QA continues</t>
  </si>
  <si>
    <t>Cloud configuration drift on AI workloads</t>
  </si>
  <si>
    <t>AUC-006,AUC-009,AUC-017,AUC-021</t>
  </si>
  <si>
    <t>Two findings open; remediation due 31/05/2026</t>
  </si>
  <si>
    <t>Risk Quantification - AI and AI-Security Risk Register</t>
  </si>
  <si>
    <t>Quantified AI risk register. Likelihood and Impact on 1-5 scale (5 = highest). Residual scoring after current control environment. Owner CRO and AI Security Manager.</t>
  </si>
  <si>
    <t>Linked Use Case IDs</t>
  </si>
  <si>
    <t>Linked Vendor IDs</t>
  </si>
  <si>
    <t>Inherent Likelihood (1-5)</t>
  </si>
  <si>
    <t>Inherent Impact (1-5)</t>
  </si>
  <si>
    <t>Inherent Score</t>
  </si>
  <si>
    <t>Control Environment Summary</t>
  </si>
  <si>
    <t>Residual Likelihood (1-5)</t>
  </si>
  <si>
    <t>Residual Impact (1-5)</t>
  </si>
  <si>
    <t>Quantified Exposure</t>
  </si>
  <si>
    <t>Risk Treatment</t>
  </si>
  <si>
    <t>Treatment Action ID</t>
  </si>
  <si>
    <t>Risk Summary (formula-driven)</t>
  </si>
  <si>
    <t>AUC-001,AUC-010,AUC-018</t>
  </si>
  <si>
    <t>Drift monitoring (CTL-005), champion-challenger, model registry, quarterly model assurance.</t>
  </si>
  <si>
    <t>ACT-001</t>
  </si>
  <si>
    <t>Total Risks</t>
  </si>
  <si>
    <t>Claims model misclassification harming customers</t>
  </si>
  <si>
    <t>Human override, monitoring, sample QA, complaints linkage.</t>
  </si>
  <si>
    <t>ACT-003</t>
  </si>
  <si>
    <t>High/Critical Inherent (&gt;=15)</t>
  </si>
  <si>
    <t>Fraud model false negatives leading to leakage</t>
  </si>
  <si>
    <t>VEN-002,VEN-005</t>
  </si>
  <si>
    <t>SIU feedback loop, threshold tuning, vendor signals.</t>
  </si>
  <si>
    <t>ACT-004</t>
  </si>
  <si>
    <t>High/Critical Residual (&gt;=15)</t>
  </si>
  <si>
    <t>Pricing/fairness bias against protected groups</t>
  </si>
  <si>
    <t>Fairness reviews (CTL-014), Consumer Duty oversight, MI.</t>
  </si>
  <si>
    <t>ACT-006</t>
  </si>
  <si>
    <t>Total Quantified Exposure</t>
  </si>
  <si>
    <t>AUC-004,AUC-011,AUC-013,AUC-016,AUC-020</t>
  </si>
  <si>
    <t>Output filters (CTL-010), human-in-the-loop, sample QA, restricted corpora.</t>
  </si>
  <si>
    <t>ACT-007</t>
  </si>
  <si>
    <t>Risks Mitigating</t>
  </si>
  <si>
    <t>Model accuracy degradation in document AI</t>
  </si>
  <si>
    <t>VEN-003,VEN-007</t>
  </si>
  <si>
    <t>Vendor SLAs, sample QA, drift alerts.</t>
  </si>
  <si>
    <t>ACT-002</t>
  </si>
  <si>
    <t>Risks Accepted</t>
  </si>
  <si>
    <t>RSK-007</t>
  </si>
  <si>
    <t>Customer detriment from biased customer-facing AI</t>
  </si>
  <si>
    <t>AUC-002,AUC-003,AUC-011,AUC-020</t>
  </si>
  <si>
    <t>Consumer Duty governance, fairness reviews, complaints monitoring.</t>
  </si>
  <si>
    <t>Avg Residual Score</t>
  </si>
  <si>
    <t>Sensitive data leakage via prompt to GenAI</t>
  </si>
  <si>
    <t>AUC-004,AUC-006,AUC-007,AUC-008,AUC-013,AUC-017</t>
  </si>
  <si>
    <t>VEN-001,VEN-006</t>
  </si>
  <si>
    <t>DLP/Purview (CTL-006,CTL-013), sensitivity labels, training (CTL-016).</t>
  </si>
  <si>
    <t>ACT-010</t>
  </si>
  <si>
    <t>Reduction vs Inherent</t>
  </si>
  <si>
    <t>RSK-009</t>
  </si>
  <si>
    <t>Document AI extraction error leading to wrong claim payment</t>
  </si>
  <si>
    <t>Engineer/handler review, sample QA, recovery process.</t>
  </si>
  <si>
    <t>VEN-006,VEN-008,VEN-009</t>
  </si>
  <si>
    <t>CSPM, IaC, SOC monitoring, IAM controls.</t>
  </si>
  <si>
    <t>ACT-011</t>
  </si>
  <si>
    <t>AUC-001,AUC-003,AUC-010,AUC-014,AUC-015,AUC-016</t>
  </si>
  <si>
    <t>Compliance oversight, fairness review, board reporting.</t>
  </si>
  <si>
    <t>ACT-012</t>
  </si>
  <si>
    <t>Vulnerable customer outcomes worsened by AI</t>
  </si>
  <si>
    <t>AUC-004,AUC-011,AUC-016,AUC-020</t>
  </si>
  <si>
    <t>Specialist routing, vulnerable customer policy, monitoring.</t>
  </si>
  <si>
    <t>ACT-013</t>
  </si>
  <si>
    <t>Audit/regulatory finding due to evidence gaps</t>
  </si>
  <si>
    <t>AUC-007,AUC-014,AUC-022</t>
  </si>
  <si>
    <t>Evidence library, control testing, ISO 42001 readiness.</t>
  </si>
  <si>
    <t>ACT-014</t>
  </si>
  <si>
    <t>Third-Party Risk - AI Vendors and Service Providers</t>
  </si>
  <si>
    <t>AI-relevant suppliers and service providers. Owner Third-Party Risk Lead Sarah Mitchell. Cadence annual review; quarterly for Tier 1.</t>
  </si>
  <si>
    <t>Supplier Name</t>
  </si>
  <si>
    <t>Service Provided</t>
  </si>
  <si>
    <t>Hosting Model</t>
  </si>
  <si>
    <t>Data Classification Handled</t>
  </si>
  <si>
    <t>Due Diligence Status</t>
  </si>
  <si>
    <t>Security Review Status</t>
  </si>
  <si>
    <t>Privacy Review Status</t>
  </si>
  <si>
    <t>Contract Renewal Date</t>
  </si>
  <si>
    <t>Residual Risk</t>
  </si>
  <si>
    <t>Key Findings</t>
  </si>
  <si>
    <t>Exit Dependency</t>
  </si>
  <si>
    <t>Days to Renewal</t>
  </si>
  <si>
    <t>Vendor Summary</t>
  </si>
  <si>
    <t>Microsoft (Azure OpenAI / M365 Copilot)</t>
  </si>
  <si>
    <t>LLM platform and productivity copilots</t>
  </si>
  <si>
    <t>AUC-004,AUC-006,AUC-007,AUC-008,AUC-013,AUC-016</t>
  </si>
  <si>
    <t>31/03/2027</t>
  </si>
  <si>
    <t>Strong contractual terms; data residency UK; ongoing review of subprocessor list.</t>
  </si>
  <si>
    <t>High - core platform</t>
  </si>
  <si>
    <t>Total Vendors</t>
  </si>
  <si>
    <t>Featurespace</t>
  </si>
  <si>
    <t>Fraud analytics and adaptive behavioural analytics</t>
  </si>
  <si>
    <t>Strong assurance; ISO 27001 plus SOC 2 Type II current.</t>
  </si>
  <si>
    <t>Renewal negotiation; review pricing tier</t>
  </si>
  <si>
    <t>Tier 1 / High Criticality</t>
  </si>
  <si>
    <t>ABBYY</t>
  </si>
  <si>
    <t>Document intelligence (OCR/NLP)</t>
  </si>
  <si>
    <t>15/09/2026</t>
  </si>
  <si>
    <t>Privacy review pending refresh after vendor sub-processor change.</t>
  </si>
  <si>
    <t>Complete privacy review by 30/06/2026 (ACT-002)</t>
  </si>
  <si>
    <t>Amber Residual</t>
  </si>
  <si>
    <t>NICE Nexidia</t>
  </si>
  <si>
    <t>Speech analytics for vulnerable customer detection</t>
  </si>
  <si>
    <t>30/11/2026</t>
  </si>
  <si>
    <t>All assurance current; audit-log review monthly.</t>
  </si>
  <si>
    <t>Maintain BAU monitoring</t>
  </si>
  <si>
    <t>Green Residual</t>
  </si>
  <si>
    <t>LexisNexis Risk Solutions</t>
  </si>
  <si>
    <t>Sanctions and PEP screening</t>
  </si>
  <si>
    <t>28/02/2027</t>
  </si>
  <si>
    <t>ISO 27001 verified; FCA-aligned controls.</t>
  </si>
  <si>
    <t>Annual recertification scheduled Feb-27</t>
  </si>
  <si>
    <t>High - regulatory</t>
  </si>
  <si>
    <t>Red Residual</t>
  </si>
  <si>
    <t>Microsoft Sentinel + Copilot for Security</t>
  </si>
  <si>
    <t>SOC SIEM/SOAR with AI assist</t>
  </si>
  <si>
    <t>Tightly integrated with M365 estate.</t>
  </si>
  <si>
    <t>Coverage expansion to Azure subscriptions (RDM-010)</t>
  </si>
  <si>
    <t>DD/Sec/Privacy In Progress</t>
  </si>
  <si>
    <t>Tractable</t>
  </si>
  <si>
    <t>Computer-vision damage estimation</t>
  </si>
  <si>
    <t>30/04/2026</t>
  </si>
  <si>
    <t>Security review refresh in progress; cycle-time benefits material.</t>
  </si>
  <si>
    <t>Complete security review (ACT-005)</t>
  </si>
  <si>
    <t>VEN-008</t>
  </si>
  <si>
    <t>Snowflake</t>
  </si>
  <si>
    <t>Cloud data platform for AI workloads</t>
  </si>
  <si>
    <t>Strong key management; private connectivity in place.</t>
  </si>
  <si>
    <t>Annual review on track</t>
  </si>
  <si>
    <t>VEN-009</t>
  </si>
  <si>
    <t>Databricks</t>
  </si>
  <si>
    <t>MLOps and ML feature platform</t>
  </si>
  <si>
    <t>AUC-001,AUC-002,AUC-009,AUC-010,AUC-018,AUC-022</t>
  </si>
  <si>
    <t>PaaS</t>
  </si>
  <si>
    <t>31/12/2026</t>
  </si>
  <si>
    <t>Core MLOps; UAP and SCIM integration in place.</t>
  </si>
  <si>
    <t>Continue tier-1 vendor monitoring</t>
  </si>
  <si>
    <t>VEN-010</t>
  </si>
  <si>
    <t>OneTrust</t>
  </si>
  <si>
    <t>Privacy and DPIA tooling</t>
  </si>
  <si>
    <t>Used to administer DPIAs and AI inventory metadata.</t>
  </si>
  <si>
    <t>VEN-011</t>
  </si>
  <si>
    <t>ITSM intake / requests / changes</t>
  </si>
  <si>
    <t>Underpins intake and request workflow.</t>
  </si>
  <si>
    <t>Maintain BAU; renewal in flight</t>
  </si>
  <si>
    <t>VEN-012</t>
  </si>
  <si>
    <t>Hugging Face Enterprise</t>
  </si>
  <si>
    <t>Internal model repository</t>
  </si>
  <si>
    <t>Not Required</t>
  </si>
  <si>
    <t>31/07/2026</t>
  </si>
  <si>
    <t>Initial assessment underway; restricted use case.</t>
  </si>
  <si>
    <t>Complete DD by 30/06/2026 (ACT-009)</t>
  </si>
  <si>
    <t>Persistent Systems</t>
  </si>
  <si>
    <t>ML engineering augmentation partner</t>
  </si>
  <si>
    <t>Vendor Hosted</t>
  </si>
  <si>
    <t>Renewal in flight; SoW being refreshed for AI-specific clauses.</t>
  </si>
  <si>
    <t>Update contract clauses for AI; finalise renewal (ACT-008)</t>
  </si>
  <si>
    <t>VEN-014</t>
  </si>
  <si>
    <t>Salesforce Service Cloud + Einstein</t>
  </si>
  <si>
    <t>CRM with AI features in customer ops</t>
  </si>
  <si>
    <t>31/05/2026</t>
  </si>
  <si>
    <t>Einstein features disabled until AI feature review completes.</t>
  </si>
  <si>
    <t>Confirm Einstein-feature posture (RDM-001)</t>
  </si>
  <si>
    <t>Splunk</t>
  </si>
  <si>
    <t>SIEM / log analytics (transitional)</t>
  </si>
  <si>
    <t>AUC-009,AUC-017</t>
  </si>
  <si>
    <t>Migration to Sentinel underway; dual-running risk to be retired.</t>
  </si>
  <si>
    <t>Complete migration by Q4 2026 (RDM-010)</t>
  </si>
  <si>
    <t>High - transitional</t>
  </si>
  <si>
    <t>VEN-016</t>
  </si>
  <si>
    <t>KPMG (advisory)</t>
  </si>
  <si>
    <t>ISO 42001 readiness advisory</t>
  </si>
  <si>
    <t>Advisory partner for the ISO 42001 readiness programme.</t>
  </si>
  <si>
    <t>Phase complete; transition to internal ownership</t>
  </si>
  <si>
    <t>Incident Analysis - AI / AI-Security Incidents and Near Misses</t>
  </si>
  <si>
    <t>Incident register for AI-related events. Owner AI Security Manager and Incident Response. Cadence each incident has a PIR.</t>
  </si>
  <si>
    <t>Incident ID</t>
  </si>
  <si>
    <t>Severity</t>
  </si>
  <si>
    <t>Linked Use Case/Service/Vendor/Risk</t>
  </si>
  <si>
    <t>Summary</t>
  </si>
  <si>
    <t>Root Cause</t>
  </si>
  <si>
    <t>Impact</t>
  </si>
  <si>
    <t>Containment Action</t>
  </si>
  <si>
    <t>Remediation Action</t>
  </si>
  <si>
    <t>Lessons Learned</t>
  </si>
  <si>
    <t>Closure Status</t>
  </si>
  <si>
    <t>PIR Reference</t>
  </si>
  <si>
    <t>Incident Summary (rolling 90d)</t>
  </si>
  <si>
    <t>Model Drift</t>
  </si>
  <si>
    <t>Sev 2</t>
  </si>
  <si>
    <t>AUC-002,SVC-003,RSK-002</t>
  </si>
  <si>
    <t>Claims FNOL model showed elevated false-fast-track rate over 7-day window; flagged by drift monitor.</t>
  </si>
  <si>
    <t>Seasonal motor claim composition shift not captured in training data.</t>
  </si>
  <si>
    <t>Approx 60 claims mis-routed; later re-routed; no customer detriment confirmed.</t>
  </si>
  <si>
    <t>Champion-challenger fallback enabled within 4 hours.</t>
  </si>
  <si>
    <t>Retraining with refreshed data; revised drift threshold; drift monitor cadence increased.</t>
  </si>
  <si>
    <t>Add seasonality features to training set; tighten drift thresholds.</t>
  </si>
  <si>
    <t>PIR-001</t>
  </si>
  <si>
    <t>Total Incidents</t>
  </si>
  <si>
    <t>Output Quality</t>
  </si>
  <si>
    <t>Sev 3</t>
  </si>
  <si>
    <t>AUC-001,AUC-010,SVC-002,RSK-001</t>
  </si>
  <si>
    <t>UW pricing engine produced an unusual quote on a high-value commercial property.</t>
  </si>
  <si>
    <t>Outlier feature interaction not handled by guardrail.</t>
  </si>
  <si>
    <t>One quote pulled before issue to customer; broker informed.</t>
  </si>
  <si>
    <t>Quote withdrawn within 1 hour.</t>
  </si>
  <si>
    <t>Added guardrail rule; updated pricing committee escalation criteria.</t>
  </si>
  <si>
    <t>Strengthen pre-issue checks for outlier features.</t>
  </si>
  <si>
    <t>PIR-002</t>
  </si>
  <si>
    <t>Sev 1</t>
  </si>
  <si>
    <t>INC-003</t>
  </si>
  <si>
    <t>AUC-004,SVC-005,RSK-005,VEN-001</t>
  </si>
  <si>
    <t>Voice agent assist surfaced an inaccurate suggestion citing an outdated FAQ.</t>
  </si>
  <si>
    <t>Source FAQ not refreshed in vector index.</t>
  </si>
  <si>
    <t>Agent caught error before customer relay; minor delay in handling.</t>
  </si>
  <si>
    <t>Suggestion suppression triggered; manual workaround used.</t>
  </si>
  <si>
    <t>Index refresh automation; updated content owner cadence; sample-QA increase.</t>
  </si>
  <si>
    <t>Strengthen content-freshness pipeline.</t>
  </si>
  <si>
    <t>PIR-003</t>
  </si>
  <si>
    <t>Data Leakage</t>
  </si>
  <si>
    <t>AUC-006,SVC-007,RSK-008,VEN-001</t>
  </si>
  <si>
    <t>Restricted-label content briefly accessible via M365 Copilot summary by an unintended audience.</t>
  </si>
  <si>
    <t>Sensitivity-label inheritance gap on a SharePoint site.</t>
  </si>
  <si>
    <t>Single low-impact instance; data was Internal not Confidential.</t>
  </si>
  <si>
    <t>Site labelling corrected within 2 hours; user notified.</t>
  </si>
  <si>
    <t>Sensitivity-label review cycle introduced; Purview policy refresh.</t>
  </si>
  <si>
    <t>Tighten label inheritance for new sites.</t>
  </si>
  <si>
    <t>PIR-004</t>
  </si>
  <si>
    <t>Vendor Outage</t>
  </si>
  <si>
    <t>AUC-002,AUC-019,SVC-003,VEN-007</t>
  </si>
  <si>
    <t>Tractable damage estimation API degraded for 90 minutes during peak FNOL window.</t>
  </si>
  <si>
    <t>Vendor backend incident.</t>
  </si>
  <si>
    <t>Engineer dispatch process reverted to manual triage.</t>
  </si>
  <si>
    <t>Manual fallback per BCP.</t>
  </si>
  <si>
    <t>Vendor SLA exceptions claimed; resilience plan updated.</t>
  </si>
  <si>
    <t>Tabletop annual exercise to include this scenario.</t>
  </si>
  <si>
    <t>PIR-005</t>
  </si>
  <si>
    <t>AUC-005,SVC-006,RSK-006,VEN-003</t>
  </si>
  <si>
    <t>ABBYY extraction error on medical certificate format.</t>
  </si>
  <si>
    <t>New medical-form template not in training corpus.</t>
  </si>
  <si>
    <t>Three claims required manual re-keying; no customer detriment.</t>
  </si>
  <si>
    <t>Quarantine of affected template; manual handling.</t>
  </si>
  <si>
    <t>Vendor template update; QA sample increase.</t>
  </si>
  <si>
    <t>Confirm template update SLAs with vendor.</t>
  </si>
  <si>
    <t>PIR-006</t>
  </si>
  <si>
    <t>Access Violation</t>
  </si>
  <si>
    <t>AUC-017,SVC-014</t>
  </si>
  <si>
    <t>Privileged role briefly granted in error to a SOC analyst beyond least-privilege baseline.</t>
  </si>
  <si>
    <t>Misconfigured PAM bundle.</t>
  </si>
  <si>
    <t>No data accessed inappropriately; logged and reviewed.</t>
  </si>
  <si>
    <t>Role removed within 30 minutes; access review scheduled.</t>
  </si>
  <si>
    <t>PAM bundles re-baselined; review every quarter.</t>
  </si>
  <si>
    <t>Add automated re-baseline test.</t>
  </si>
  <si>
    <t>PIR-007</t>
  </si>
  <si>
    <t>Vendor-driven</t>
  </si>
  <si>
    <t>AUC-004,AUC-013,SVC-005,RSK-005,VEN-001</t>
  </si>
  <si>
    <t>Hallucinated reference appeared in policy-wording smart search response.</t>
  </si>
  <si>
    <t>Filter regression after vendor model update.</t>
  </si>
  <si>
    <t>Surface only on internal QA sample; no customer impact.</t>
  </si>
  <si>
    <t>Hallucination filter rolled back to prior version.</t>
  </si>
  <si>
    <t>Filter re-tuned; vendor change-window controls strengthened.</t>
  </si>
  <si>
    <t>Vendor change windows must align with QA windows.</t>
  </si>
  <si>
    <t>PIR-008</t>
  </si>
  <si>
    <t>Compliance Mapping V2 - ISO/IEC 42001 Control Library with Audit Readiness Detail</t>
  </si>
  <si>
    <t>Workbook control library mapped to ISO/IEC 42001 (primary), ISO 27001, ISO 27701, ISO 31000, NIST AI RMF and FCA expectations. Each control specifies typical objective evidence expected, audit test focus, likely interview owner and potential nonconformity if absent. Owner AI Security Manager. Cadence quarterly.</t>
  </si>
  <si>
    <t>Control ID</t>
  </si>
  <si>
    <t>Control Statement</t>
  </si>
  <si>
    <t>ISO 42001 Clause</t>
  </si>
  <si>
    <t>Annex A Reference</t>
  </si>
  <si>
    <t>Other Framework Reference</t>
  </si>
  <si>
    <t>Control Objective Summary</t>
  </si>
  <si>
    <t>Linked Policy</t>
  </si>
  <si>
    <t>Implementation Status</t>
  </si>
  <si>
    <t>Evidence ID</t>
  </si>
  <si>
    <t>Review Frequency</t>
  </si>
  <si>
    <t>Audit Test Focus</t>
  </si>
  <si>
    <t>Likely Interview Owner</t>
  </si>
  <si>
    <t>Residual Gap</t>
  </si>
  <si>
    <t>Potential Nonconformity if Absent</t>
  </si>
  <si>
    <t>Remediation Action ID</t>
  </si>
  <si>
    <t>Compliance Mapping V2 Summary</t>
  </si>
  <si>
    <t>AI use case intake, materiality assessment and approval gateway prior to development.</t>
  </si>
  <si>
    <t>Clause 6.1 + 8.1</t>
  </si>
  <si>
    <t>A.6.2.2</t>
  </si>
  <si>
    <t>NIST AI RMF Govern 1.1</t>
  </si>
  <si>
    <t>Ensure every AI use case is risk-tiered and approved before resources are committed.</t>
  </si>
  <si>
    <t>SVC-001,SVC-002,SVC-013</t>
  </si>
  <si>
    <t>Implemented</t>
  </si>
  <si>
    <t>Sample 3 use cases and trace from intake form through AIGF approval to deployment.</t>
  </si>
  <si>
    <t>AI Security Manager / AIGF Chair</t>
  </si>
  <si>
    <t>No material gaps</t>
  </si>
  <si>
    <t>Major - missing intake gateway is a foundational nonconformity</t>
  </si>
  <si>
    <t>Total Controls</t>
  </si>
  <si>
    <t>CTL-002</t>
  </si>
  <si>
    <t>Independent challenge of material AI/ML models prior to deployment and at scheduled intervals.</t>
  </si>
  <si>
    <t>Clause 9.1 + 9.2</t>
  </si>
  <si>
    <t>A.6.2.6</t>
  </si>
  <si>
    <t>NIST AI RMF Measure 2.3; PRA SS1/23</t>
  </si>
  <si>
    <t>Provide independent assurance over material model risk at deployment and on cadence.</t>
  </si>
  <si>
    <t>AUC-002,AUC-003,AUC-014,AUC-019</t>
  </si>
  <si>
    <t>SVC-003,SVC-004,SVC-012</t>
  </si>
  <si>
    <t>Annual</t>
  </si>
  <si>
    <t>Request validation pack for AUC-014; trace to MRC minutes; check independent reviewer.</t>
  </si>
  <si>
    <t>Mohammed Iqbal / MRM Lead</t>
  </si>
  <si>
    <t>Independent validation backlog of one model</t>
  </si>
  <si>
    <t>Major - inadequate independent challenge is high-impact 42001 finding</t>
  </si>
  <si>
    <t>CTL-003</t>
  </si>
  <si>
    <t>Customer-facing AI subjected to fairness and Consumer Duty review prior to launch and at quarterly intervals.</t>
  </si>
  <si>
    <t>Clause 6.1.4 + 9.1</t>
  </si>
  <si>
    <t>A.6.2.7</t>
  </si>
  <si>
    <t>FCA Consumer Duty; NIST AI RMF Measure 2.11</t>
  </si>
  <si>
    <t>Ensure customer outcomes are equitable and tested for bias before and after launch.</t>
  </si>
  <si>
    <t>AUC-002,AUC-003,AUC-004,AUC-011,AUC-016,AUC-020</t>
  </si>
  <si>
    <t>SVC-005,SVC-009</t>
  </si>
  <si>
    <t>Sample 2 customer journeys; trace through fairness review and complaints theme analysis.</t>
  </si>
  <si>
    <t>Olivia Bennett / DPO</t>
  </si>
  <si>
    <t>Major - bias gaps are high-priority 42001 audit focus</t>
  </si>
  <si>
    <t>Partially Implemented</t>
  </si>
  <si>
    <t>CTL-004</t>
  </si>
  <si>
    <t>Document AI extraction QA sampling and downstream impact monitoring.</t>
  </si>
  <si>
    <t>Clause 9.1</t>
  </si>
  <si>
    <t>A.6.2.8</t>
  </si>
  <si>
    <t>ISO 27001 A.5.34</t>
  </si>
  <si>
    <t>Detect extraction error and downstream impact early through structured QA sampling.</t>
  </si>
  <si>
    <t>POL-006</t>
  </si>
  <si>
    <t>AUC-005,AUC-012,AUC-019</t>
  </si>
  <si>
    <t>SVC-006,SVC-011</t>
  </si>
  <si>
    <t>Re-perform sample QA on a small selection; trace reject-rate trend.</t>
  </si>
  <si>
    <t>Mohammed Iqbal / Claims Ops</t>
  </si>
  <si>
    <t>Minor - typically observation</t>
  </si>
  <si>
    <t>Planned/Not Implemented</t>
  </si>
  <si>
    <t>Production model monitoring (drift, performance, bias) and alerting via SIEM.</t>
  </si>
  <si>
    <t>NIST AI RMF Manage 4.1</t>
  </si>
  <si>
    <t>Continuously monitor production AI for drift, degradation and bias with timely alerting.</t>
  </si>
  <si>
    <t>AUC-001,AUC-002,AUC-005,AUC-009,AUC-010,AUC-018,AUC-019,AUC-021,AUC-022</t>
  </si>
  <si>
    <t>SVC-002,SVC-003,SVC-010,SVC-014</t>
  </si>
  <si>
    <t>Trace drift alert through to ServiceNow ticket and remediation; sample two weeks' alerts.</t>
  </si>
  <si>
    <t>Mohammed Iqbal (MLOps Lead)</t>
  </si>
  <si>
    <t>8 percent Tier-2 model coverage gap</t>
  </si>
  <si>
    <t>Major - Tier-1 monitoring gaps are high-impact 42001 finding</t>
  </si>
  <si>
    <t>ISO 42001 Clauses Mapped</t>
  </si>
  <si>
    <t>CTL-006</t>
  </si>
  <si>
    <t>GenAI usage controlled by sensitivity labels, DLP, prompt logging and corpus restrictions.</t>
  </si>
  <si>
    <t>Clause 7.4 + 8.1</t>
  </si>
  <si>
    <t>A.7.4</t>
  </si>
  <si>
    <t>ISO 27701 7.2.2; GDPR/UK DPA</t>
  </si>
  <si>
    <t>Prevent sensitive or restricted data leaving the perimeter via GenAI tools.</t>
  </si>
  <si>
    <t>AUC-004,AUC-006,AUC-007,AUC-008,AUC-013,AUC-016,AUC-017</t>
  </si>
  <si>
    <t>SVC-005,SVC-007,SVC-008,SVC-009,SVC-014</t>
  </si>
  <si>
    <t>Test sensitivity-label inheritance on a sample of legacy SharePoint sites.</t>
  </si>
  <si>
    <t>Karen Holloway / DPO</t>
  </si>
  <si>
    <t>Label inheritance gap on legacy SharePoint sites</t>
  </si>
  <si>
    <t>Major - data leakage path open to GenAI is high-impact 42001 finding</t>
  </si>
  <si>
    <t>Annex A Controls Mapped</t>
  </si>
  <si>
    <t>CTL-007</t>
  </si>
  <si>
    <t>Document AI vendor change windows controlled and aligned with QA windows.</t>
  </si>
  <si>
    <t>Clause 8.1</t>
  </si>
  <si>
    <t>A.6.2.10</t>
  </si>
  <si>
    <t>ISO 27001 A.5.23</t>
  </si>
  <si>
    <t>Vendor model updates do not bypass change control and QA assurance.</t>
  </si>
  <si>
    <t>AUC-005,AUC-012</t>
  </si>
  <si>
    <t>Per change</t>
  </si>
  <si>
    <t>Trace one vendor change through approval, QA window and post-change validation.</t>
  </si>
  <si>
    <t>Sarah Mitchell / Mohammed Iqbal</t>
  </si>
  <si>
    <t>Minor - observation if change-window control weak</t>
  </si>
  <si>
    <t>Major NC Risk if Absent</t>
  </si>
  <si>
    <t>Human-in-the-loop required for customer-impacting decisions.</t>
  </si>
  <si>
    <t>Clause 6.1.4</t>
  </si>
  <si>
    <t>A.6.2.5</t>
  </si>
  <si>
    <t>NIST AI RMF Govern 5.1; FCA Consumer Duty</t>
  </si>
  <si>
    <t>Material customer-impacting decisions retain human accountability.</t>
  </si>
  <si>
    <t>AUC-002,AUC-003,AUC-004,AUC-011,AUC-014,AUC-019,AUC-020</t>
  </si>
  <si>
    <t>SVC-003,SVC-004,SVC-005,SVC-009,SVC-012</t>
  </si>
  <si>
    <t>Sample 30 customer-facing decisions; verify HITL evidence on each.</t>
  </si>
  <si>
    <t>Olivia Bennett / Customer Ops Lead</t>
  </si>
  <si>
    <t>Major - missing HITL on customer decisions is foundational 42001 finding</t>
  </si>
  <si>
    <t>Minor NC Risk if Absent</t>
  </si>
  <si>
    <t>CTL-009</t>
  </si>
  <si>
    <t>Third-party AI vendors complete due diligence including security, privacy and AI assurance prior to onboarding.</t>
  </si>
  <si>
    <t>A.7.3</t>
  </si>
  <si>
    <t>ISO 27001 A.5.19; FCA SYSC 8</t>
  </si>
  <si>
    <t>Vendors meet equivalent control expectations to internal AI services.</t>
  </si>
  <si>
    <t>Per onboarding</t>
  </si>
  <si>
    <t>Sample one Tier-1 vendor pack end-to-end; trace contract, security and privacy assurance.</t>
  </si>
  <si>
    <t>Sarah Mitchell / TPRM Lead</t>
  </si>
  <si>
    <t>One Tier-1 vendor DD overdue (94 percent currency vs 100 percent target)</t>
  </si>
  <si>
    <t>Major - inadequate vendor DD on Tier-1 is high-impact 42001 finding</t>
  </si>
  <si>
    <t>ACT-008</t>
  </si>
  <si>
    <t>CTL-010</t>
  </si>
  <si>
    <t>GenAI output filters and guardrails (PII redaction, hallucination filter, toxic content).</t>
  </si>
  <si>
    <t>A.6.2.11</t>
  </si>
  <si>
    <t>NIST AI RMF Measure 2.5</t>
  </si>
  <si>
    <t>Output controls prevent customer-facing harm from GenAI errors.</t>
  </si>
  <si>
    <t>AUC-004,AUC-006,AUC-008,AUC-013,AUC-017</t>
  </si>
  <si>
    <t>SVC-005,SVC-007,SVC-009,SVC-014</t>
  </si>
  <si>
    <t>Re-perform a canonical hallucination regression test set; sample QA outputs.</t>
  </si>
  <si>
    <t>Olivia Bennett / Customer-Facing AI Lead</t>
  </si>
  <si>
    <t>Major - missing guardrails on customer-facing GenAI is high-impact 42001 finding</t>
  </si>
  <si>
    <t>Controls Mapped to FCA</t>
  </si>
  <si>
    <t>CTL-011</t>
  </si>
  <si>
    <t>Vendor exit and substitutability assessed for material AI providers.</t>
  </si>
  <si>
    <t>A.7.5</t>
  </si>
  <si>
    <t>FCA SYSC; PRA Operational Resilience</t>
  </si>
  <si>
    <t>Substitutability is documented and tested for material AI vendors.</t>
  </si>
  <si>
    <t>AUC-001 to AUC-022 (material)</t>
  </si>
  <si>
    <t>Request exit plan for VEN-001 and VEN-006 and trace substitutability evidence.</t>
  </si>
  <si>
    <t>Sarah Mitchell / Procurement Director</t>
  </si>
  <si>
    <t>Exit plans incomplete for VEN-001 and VEN-006</t>
  </si>
  <si>
    <t>Major - missing exit plans is high-impact 42001 and PRA finding</t>
  </si>
  <si>
    <t>Controls Mapped to NIST AI RMF</t>
  </si>
  <si>
    <t>CTL-012</t>
  </si>
  <si>
    <t>Pricing and underwriting model fairness review prior to release and quarterly.</t>
  </si>
  <si>
    <t>Pricing and UW models do not produce unfair outcomes for protected groups.</t>
  </si>
  <si>
    <t>SVC-002,SVC-013</t>
  </si>
  <si>
    <t>Sample fairness test for AUC-010; trace through pricing committee.</t>
  </si>
  <si>
    <t>Helen Carter / Chief Actuary</t>
  </si>
  <si>
    <t>Major - bias on pricing models is high-impact 42001 and FCA finding</t>
  </si>
  <si>
    <t>Implementation %</t>
  </si>
  <si>
    <t>CTL-013</t>
  </si>
  <si>
    <t>Logging and audit trail for AI prompts, outputs and model decisions retained per data classification policy.</t>
  </si>
  <si>
    <t>A.6.2.9</t>
  </si>
  <si>
    <t>ISO 27001 A.8.15; ISO 27701 7.2.6</t>
  </si>
  <si>
    <t>AI activity is fully accountable through tamper-resistant logs.</t>
  </si>
  <si>
    <t>Sample logs from Sentinel; verify retention and immutability.</t>
  </si>
  <si>
    <t>Karen Holloway / SOC Lead</t>
  </si>
  <si>
    <t>Major - logging gaps on AI activity is high-impact 42001 finding</t>
  </si>
  <si>
    <t>CTL-014</t>
  </si>
  <si>
    <t>Independent fairness and bias testing for material customer-impacting models.</t>
  </si>
  <si>
    <t>Clause 9.2</t>
  </si>
  <si>
    <t>NIST AI RMF Measure 2.11</t>
  </si>
  <si>
    <t>Independent fairness testing complements first-line fairness reviews.</t>
  </si>
  <si>
    <t>AUC-001,AUC-003,AUC-010,AUC-014,AUC-022</t>
  </si>
  <si>
    <t>SVC-002,SVC-004,SVC-010,SVC-012,SVC-015</t>
  </si>
  <si>
    <t>Request independent fairness pack for AUC-014; trace to MRC minutes.</t>
  </si>
  <si>
    <t>Helen Carter / Independent Validator</t>
  </si>
  <si>
    <t>Major - lack of independent challenge on bias is high-impact 42001 finding</t>
  </si>
  <si>
    <t>CTL-015</t>
  </si>
  <si>
    <t>Vulnerable customer routing and human handling for sensitive customer journeys.</t>
  </si>
  <si>
    <t>FCA Consumer Duty; FCA Vulnerable Customers</t>
  </si>
  <si>
    <t>Vulnerable customers receive specialist human handling, not AI-only outcomes.</t>
  </si>
  <si>
    <t>Sample 20 calls flagged by NLP; verify specialist routing.</t>
  </si>
  <si>
    <t>Olivia Bennett / Vulnerable Customer Lead</t>
  </si>
  <si>
    <t>Major - missing vulnerable customer routing is high-impact FCA and 42001 finding</t>
  </si>
  <si>
    <t>CTL-016</t>
  </si>
  <si>
    <t>AI awareness and training programme for all colleagues using or supporting AI tools.</t>
  </si>
  <si>
    <t>Clause 7.2 + 7.3</t>
  </si>
  <si>
    <t>A.7.6</t>
  </si>
  <si>
    <t>ISO 27001 A.6.3</t>
  </si>
  <si>
    <t>Colleagues are competent and aware before using AI tools.</t>
  </si>
  <si>
    <t>AUC-006,AUC-007,AUC-008,AUC-016,AUC-017,AUC-021</t>
  </si>
  <si>
    <t>SVC-007,SVC-008,SVC-009,SVC-014</t>
  </si>
  <si>
    <t>Sample colleague competence records and interview 5 colleagues to test awareness.</t>
  </si>
  <si>
    <t>Daniel O'Reilly / HR L&amp;D</t>
  </si>
  <si>
    <t>Training completion 86 percent vs 95 percent target</t>
  </si>
  <si>
    <t>Major - low awareness commonly leads to major 42001 nonconformity</t>
  </si>
  <si>
    <t>Cloud Security Services - Controls Supporting AI Workloads</t>
  </si>
  <si>
    <t>Cloud security control inventory protecting AI workloads. Owner CISO and Head of Cloud. Cadence reviewed quarterly.</t>
  </si>
  <si>
    <t>Control Area</t>
  </si>
  <si>
    <t>Control / Service Description</t>
  </si>
  <si>
    <t>Linked Control ID</t>
  </si>
  <si>
    <t>Linked Use Cases/Services</t>
  </si>
  <si>
    <t>Last Test Date</t>
  </si>
  <si>
    <t>Architecture Assurance</t>
  </si>
  <si>
    <t>Solution architecture review and threat modelling for new AI workloads with security sign-off.</t>
  </si>
  <si>
    <t>AUC-001,AUC-009,AUC-017</t>
  </si>
  <si>
    <t>Internal review process; Microsoft Threat Modeling Tool</t>
  </si>
  <si>
    <t>100% new AI workloads</t>
  </si>
  <si>
    <t>2026-04-22</t>
  </si>
  <si>
    <t>Embedded into intake gate (SVC-001)</t>
  </si>
  <si>
    <t>Environment Segregation</t>
  </si>
  <si>
    <t>Logical separation of Production, UAT, Development and Sandbox; isolated AI experimentation.</t>
  </si>
  <si>
    <t>AUC-001,AUC-002,AUC-005,AUC-009,AUC-010</t>
  </si>
  <si>
    <t>Azure landing zones; Databricks workspaces</t>
  </si>
  <si>
    <t>100%</t>
  </si>
  <si>
    <t>2026-03-15</t>
  </si>
  <si>
    <t>Sandbox accounts use synthetic data only</t>
  </si>
  <si>
    <t>Encryption (in transit)</t>
  </si>
  <si>
    <t>TLS 1.2+ enforced; service-to-service encryption; private endpoints used where supported.</t>
  </si>
  <si>
    <t>All AI workloads</t>
  </si>
  <si>
    <t>Azure Front Door; private endpoints; certificate management</t>
  </si>
  <si>
    <t>2026-04-02</t>
  </si>
  <si>
    <t>Quarterly cert validity scan</t>
  </si>
  <si>
    <t>Encryption (at rest)</t>
  </si>
  <si>
    <t>AES-256 with customer-managed keys for all classified AI training/feature stores.</t>
  </si>
  <si>
    <t>Azure Key Vault; Snowflake CMK</t>
  </si>
  <si>
    <t>Key rotation 12 months</t>
  </si>
  <si>
    <t>Logging</t>
  </si>
  <si>
    <t>Centralised logging of platform, model and prompt activity into SIEM; retention aligned to classification.</t>
  </si>
  <si>
    <t>Microsoft Sentinel; Splunk (transitional)</t>
  </si>
  <si>
    <t>98%</t>
  </si>
  <si>
    <t>2026-04-18</t>
  </si>
  <si>
    <t>Splunk migration completes Q4 2026 (RDM-010)</t>
  </si>
  <si>
    <t>Monitoring (Posture)</t>
  </si>
  <si>
    <t>Cloud Security Posture Management with policy-as-code and automated drift detection.</t>
  </si>
  <si>
    <t>Microsoft Defender for Cloud; Azure Policy</t>
  </si>
  <si>
    <t>2026-04-20</t>
  </si>
  <si>
    <t>Two findings open (KRI-009)</t>
  </si>
  <si>
    <t>Threat Detection</t>
  </si>
  <si>
    <t>Behavioural detections for AI workloads; SOC playbooks for prompt-injection and data exfil.</t>
  </si>
  <si>
    <t>AUC-006,AUC-009,AUC-017</t>
  </si>
  <si>
    <t>Sentinel + Copilot for Security</t>
  </si>
  <si>
    <t>100% Tier 1</t>
  </si>
  <si>
    <t>2026-04-12</t>
  </si>
  <si>
    <t>Refined post INC-007</t>
  </si>
  <si>
    <t>Secrets Management</t>
  </si>
  <si>
    <t>Centralised secrets vault; rotation policy; no secrets in code or notebooks.</t>
  </si>
  <si>
    <t>Azure Key Vault; HashiCorp where required</t>
  </si>
  <si>
    <t>2026-03-05</t>
  </si>
  <si>
    <t>Quarterly audit; zero exceptions Apr-26</t>
  </si>
  <si>
    <t>Backup</t>
  </si>
  <si>
    <t>Backup of critical AI artefacts (model registry, feature store, semantic layer).</t>
  </si>
  <si>
    <t>AUC-001,AUC-002,AUC-009,AUC-010</t>
  </si>
  <si>
    <t>Azure Backup; Snowflake Time Travel</t>
  </si>
  <si>
    <t>2026-03-10</t>
  </si>
  <si>
    <t>Restore tested Mar-26</t>
  </si>
  <si>
    <t>Resilience / DR</t>
  </si>
  <si>
    <t>DR documented and tested for Tier-1 AI services; manual fallback procedures defined.</t>
  </si>
  <si>
    <t>AUC-002,AUC-009,AUC-019</t>
  </si>
  <si>
    <t>Azure Site Recovery; runbooks</t>
  </si>
  <si>
    <t>Tier 1: 100%; Tier 2: 60%</t>
  </si>
  <si>
    <t>2026-02-28</t>
  </si>
  <si>
    <t>Tier 2 DR plan refresh in flight</t>
  </si>
  <si>
    <t>Deployment Controls</t>
  </si>
  <si>
    <t>CI/CD with mandatory peer review, IaC scanning and secrets scanning prior to AI release.</t>
  </si>
  <si>
    <t>All internal AI workloads</t>
  </si>
  <si>
    <t>Azure DevOps; GitHub Advanced Security</t>
  </si>
  <si>
    <t>2026-04-14</t>
  </si>
  <si>
    <t>Two policy bypasses in 90 days; reviewed and remediated</t>
  </si>
  <si>
    <t>Supplier Dependency Review</t>
  </si>
  <si>
    <t>Quarterly review of cloud and AI supplier concentration risk and contract resilience clauses.</t>
  </si>
  <si>
    <t>CTL-009,CTL-011</t>
  </si>
  <si>
    <t>All vendor AI services</t>
  </si>
  <si>
    <t>Tier 1: 100%; Tier 2: 70%</t>
  </si>
  <si>
    <t>2026-03-31</t>
  </si>
  <si>
    <t>Tier 2 review extension agreed at TPRO Apr-26</t>
  </si>
  <si>
    <t>IAM Services - Identity and Access Controls for AI Estate</t>
  </si>
  <si>
    <t>IAM controls protecting AI services and data. Owner CISO. Cadence quarterly recertification.</t>
  </si>
  <si>
    <t>Scope</t>
  </si>
  <si>
    <t>Recertification Cadence</t>
  </si>
  <si>
    <t>Last Recert Date</t>
  </si>
  <si>
    <t>Privileged Access</t>
  </si>
  <si>
    <t>PAM enforced for all production AI workloads; just-in-time access; session recording for Tier 1.</t>
  </si>
  <si>
    <t>CyberArk PAM</t>
  </si>
  <si>
    <t>Re-baselined post INC-007</t>
  </si>
  <si>
    <t>Role-Based Access (RBAC)</t>
  </si>
  <si>
    <t>RBAC roles defined for AI use cases (data scientist, model developer, MLOps, business consumer).</t>
  </si>
  <si>
    <t>Entra ID, Databricks Unity Catalog</t>
  </si>
  <si>
    <t>Roles refreshed for AI use cases</t>
  </si>
  <si>
    <t>Service Accounts / Workload Identity</t>
  </si>
  <si>
    <t>Workload identities (managed identities) preferred over secrets; service accounts inventoried and reviewed.</t>
  </si>
  <si>
    <t>Entra Managed Identities</t>
  </si>
  <si>
    <t>2026-02-15</t>
  </si>
  <si>
    <t>Inventory refresh complete</t>
  </si>
  <si>
    <t>Joiner-Mover-Leaver</t>
  </si>
  <si>
    <t>Automated provisioning and deprovisioning; same-day removal for leavers; manager attestation for movers.</t>
  </si>
  <si>
    <t>All staff with AI access</t>
  </si>
  <si>
    <t>Entra ID + ServiceNow HR feed</t>
  </si>
  <si>
    <t>Continuous + quarterly</t>
  </si>
  <si>
    <t>Same-day deprovisioning rate 99.4%</t>
  </si>
  <si>
    <t>Access Recertification</t>
  </si>
  <si>
    <t>Quarterly recertification of access to AI workloads, model registry and analytics platforms.</t>
  </si>
  <si>
    <t>SailPoint IdentityNow</t>
  </si>
  <si>
    <t>Q1 recert 100% completed on time</t>
  </si>
  <si>
    <t>MFA</t>
  </si>
  <si>
    <t>Phishing-resistant MFA enforced for all access to AI workloads (FIDO2 / Authenticator).</t>
  </si>
  <si>
    <t>All staff and contractors</t>
  </si>
  <si>
    <t>Entra ID Conditional Access</t>
  </si>
  <si>
    <t>Conditional Access policies tested monthly</t>
  </si>
  <si>
    <t>Privileged Account Management</t>
  </si>
  <si>
    <t>Privileged accounts vaulted; password rotation; no shared admin accounts.</t>
  </si>
  <si>
    <t>Production AI workloads</t>
  </si>
  <si>
    <t>No shared accounts</t>
  </si>
  <si>
    <t>Emergency / Break-Glass Access</t>
  </si>
  <si>
    <t>Two break-glass accounts per critical service; alerted on use; reviewed at OR Committee.</t>
  </si>
  <si>
    <t>Tier-1 AI services</t>
  </si>
  <si>
    <t>Entra ID + SOC alerting</t>
  </si>
  <si>
    <t>Tested Mar-26 (zero issues)</t>
  </si>
  <si>
    <t>Secrets Handling</t>
  </si>
  <si>
    <t>No secrets in code, notebooks or models; secret scanners in CI/CD.</t>
  </si>
  <si>
    <t>Azure DevOps; GHAS secret scanning</t>
  </si>
  <si>
    <t>Two findings remediated in 90 days</t>
  </si>
  <si>
    <t>Customer Identity (where AI is customer-facing)</t>
  </si>
  <si>
    <t>Customer identity and consent management for AI features used by customers.</t>
  </si>
  <si>
    <t>CTL-003,CTL-013</t>
  </si>
  <si>
    <t>AUC-004,AUC-011,AUC-013</t>
  </si>
  <si>
    <t>Auth0 (legacy); transitioning to Entra External ID</t>
  </si>
  <si>
    <t>2026-03-20</t>
  </si>
  <si>
    <t>Migration target Q3 2026 (RDM-001)</t>
  </si>
  <si>
    <t>Evidence Route</t>
  </si>
  <si>
    <t>All IAM events logged to SIEM; recert outcomes archived in GRC; PAM session recordings retained per policy.</t>
  </si>
  <si>
    <t>Sentinel; OneTrust GRC</t>
  </si>
  <si>
    <t>2026-04-15</t>
  </si>
  <si>
    <t>Audit-ready evidence pack</t>
  </si>
  <si>
    <t>KPI Tracking - Operational and Governance Metrics</t>
  </si>
  <si>
    <t>Operational, governance, assurance and service delivery metrics. Owner AI Security Manager. Cadence monthly.</t>
  </si>
  <si>
    <t>KPI ID</t>
  </si>
  <si>
    <t>KPI Name</t>
  </si>
  <si>
    <t>Linked Service/Use Case/Control</t>
  </si>
  <si>
    <t>Actual (Apr-26)</t>
  </si>
  <si>
    <t>Source Logic</t>
  </si>
  <si>
    <t>KPI Summary</t>
  </si>
  <si>
    <t>AI use case intake decisions on time (within 10 working days)</t>
  </si>
  <si>
    <t>On Track</t>
  </si>
  <si>
    <t>ServiceNow report - intakes triaged on time / total</t>
  </si>
  <si>
    <t>Above target since Q4 2025</t>
  </si>
  <si>
    <t>Total KPIs</t>
  </si>
  <si>
    <t>Material models with current independent assurance</t>
  </si>
  <si>
    <t>At Risk</t>
  </si>
  <si>
    <t>Model registry - models with current sign-off / total</t>
  </si>
  <si>
    <t>Two models in re-validation</t>
  </si>
  <si>
    <t>KPI-003</t>
  </si>
  <si>
    <t>Claims AI uptime (monthly)</t>
  </si>
  <si>
    <t>SVC-003,SVC-010</t>
  </si>
  <si>
    <t>SIEM monitor; ServiceNow incident tickets</t>
  </si>
  <si>
    <t>Fraud and sanctions FPR within agreed band</t>
  </si>
  <si>
    <t>SVC-004,SVC-012</t>
  </si>
  <si>
    <t>Fraud and screening MI</t>
  </si>
  <si>
    <t>Threshold tuning improved Mar-26</t>
  </si>
  <si>
    <t>Off Track</t>
  </si>
  <si>
    <t>KPI-005</t>
  </si>
  <si>
    <t>Customer-facing AI sample QA pass rate</t>
  </si>
  <si>
    <t>QA review tracker</t>
  </si>
  <si>
    <t>Within tolerance; output filter retune planned</t>
  </si>
  <si>
    <t>SOC mean-time-to-triage on AI-related alerts</t>
  </si>
  <si>
    <t>Sentinel SOC dashboards</t>
  </si>
  <si>
    <t>Improved with Copilot for Security</t>
  </si>
  <si>
    <t>Tier-1 vendor due diligence currency</t>
  </si>
  <si>
    <t>GRC vendor tracker</t>
  </si>
  <si>
    <t>One Tier-1 in renewal</t>
  </si>
  <si>
    <t>Document AI extraction QA reject rate</t>
  </si>
  <si>
    <t>DMS QA tracker</t>
  </si>
  <si>
    <t>Within target</t>
  </si>
  <si>
    <t>KPI-009</t>
  </si>
  <si>
    <t>Claims triage SLA attainment</t>
  </si>
  <si>
    <t>Triage system MI</t>
  </si>
  <si>
    <t>Above target</t>
  </si>
  <si>
    <t>Customer complaints linked to AI behaviour (per 1000 customers)</t>
  </si>
  <si>
    <t>Complaints system; root-cause coding</t>
  </si>
  <si>
    <t>Below target; trend improving</t>
  </si>
  <si>
    <t>Internal GenAI tooling adoption (% of eligible users active monthly)</t>
  </si>
  <si>
    <t>SVC-007,SVC-008,SVC-009</t>
  </si>
  <si>
    <t>M365 usage analytics</t>
  </si>
  <si>
    <t>Above target with growing power-user community</t>
  </si>
  <si>
    <t>Maturity Assessment - AI Governance and Security Capability Maturity</t>
  </si>
  <si>
    <t>Domain-level capability maturity. 1 Initial, 2 Developing, 3 Defined, 4 Managed, 5 Optimised. Owner AI Security Manager. Cadence half-yearly.</t>
  </si>
  <si>
    <t>Domain ID</t>
  </si>
  <si>
    <t>Current Maturity (1-5)</t>
  </si>
  <si>
    <t>Current Level</t>
  </si>
  <si>
    <t>Target Maturity (1-5)</t>
  </si>
  <si>
    <t>Target Level</t>
  </si>
  <si>
    <t>Narrative Rationale</t>
  </si>
  <si>
    <t>Maturity Summary</t>
  </si>
  <si>
    <t>AI governance forums, mandates, decision rights, policy hierarchy and reporting lines.</t>
  </si>
  <si>
    <t>Managed</t>
  </si>
  <si>
    <t>Optimised</t>
  </si>
  <si>
    <t>AI Governance Forum mature; ExCo and Board oversight in place; ISO 42001 alignment progressing.</t>
  </si>
  <si>
    <t>RDM-007,RDM-008</t>
  </si>
  <si>
    <t>Domains Assessed</t>
  </si>
  <si>
    <t>Risk identification, quantification, treatment and monitoring across the AI estate.</t>
  </si>
  <si>
    <t>Defined</t>
  </si>
  <si>
    <t>Risk register established; quantification in place; deepening scenario analysis and risk appetite linkage.</t>
  </si>
  <si>
    <t>Average Current Maturity</t>
  </si>
  <si>
    <t>Security Controls</t>
  </si>
  <si>
    <t>Security controls covering AI workloads, data, models and prompts.</t>
  </si>
  <si>
    <t>Strong baseline (CSPM, PAM, MFA, SIEM); maturing AI-specific detections and prompt-injection coverage.</t>
  </si>
  <si>
    <t>Average Target Maturity</t>
  </si>
  <si>
    <t>Data classification, DPIA programme, sensitivity labelling and minimisation across AI.</t>
  </si>
  <si>
    <t>DPIA programme established; legacy SharePoint label inheritance gap (CTL-006); GenAI prompt-data minimisation maturing.</t>
  </si>
  <si>
    <t>Total Gap</t>
  </si>
  <si>
    <t>Drift, performance, bias and operational monitoring with assurance reporting.</t>
  </si>
  <si>
    <t>Tier-1 coverage 92%; Tier-2 coverage 60%; integrating bias monitoring across customer-facing models.</t>
  </si>
  <si>
    <t>Domains with Gap &gt;=2</t>
  </si>
  <si>
    <t>AI vendor due diligence, ongoing monitoring, contracts and exit planning.</t>
  </si>
  <si>
    <t>Tier-1 currency 94%; exit plans for two material vendors documented; remainder in flight.</t>
  </si>
  <si>
    <t>Domains at Target</t>
  </si>
  <si>
    <t>Lifecycle Management</t>
  </si>
  <si>
    <t>Use case onboarding, change, monitoring, periodic review and retirement of AI.</t>
  </si>
  <si>
    <t>Intake-to-retirement framework defined; quarterly use case reviews live; retirement playbook to be hardened.</t>
  </si>
  <si>
    <t>RDM-008,RDM-009</t>
  </si>
  <si>
    <t>Domains at Managed (4+)</t>
  </si>
  <si>
    <t>Resilience and Continuity</t>
  </si>
  <si>
    <t>Operational resilience, fallback, recovery and exercises for AI services.</t>
  </si>
  <si>
    <t>Tier-1 DR tested; manual fallback documented; Tier-2 DR plans being refreshed.</t>
  </si>
  <si>
    <t>Maturity Score (% of target)</t>
  </si>
  <si>
    <t>Audit-ready evidence, control testing, traceability and assurance documentation.</t>
  </si>
  <si>
    <t>Evidence library structured per ISO 42001; control testing programme expanding; training currency 86%.</t>
  </si>
  <si>
    <t>RDM-001,RDM-003</t>
  </si>
  <si>
    <t>Metrics Calculation Guide - Formulas, Sources and Interpretation</t>
  </si>
  <si>
    <t>Documents formulas, source sheets, threshold logic, assumptions and caveats for KPIs, KRIs and dashboard rollups. Owner AI Security Manager. Reviewed half-yearly.</t>
  </si>
  <si>
    <t>Metric ID</t>
  </si>
  <si>
    <t>Metric Name</t>
  </si>
  <si>
    <t>Formula Logic</t>
  </si>
  <si>
    <t>Source Sheet(s)</t>
  </si>
  <si>
    <t>Threshold / RAG Logic</t>
  </si>
  <si>
    <t>Assumptions</t>
  </si>
  <si>
    <t>Caveats</t>
  </si>
  <si>
    <t>Interpretation Notes</t>
  </si>
  <si>
    <t>AI use case intake decisions on time</t>
  </si>
  <si>
    <t>COUNTIFS(target_met) / COUNTA(intakes)</t>
  </si>
  <si>
    <t>&gt;=95% Green; 90-95% Amber; &lt;90% Red</t>
  </si>
  <si>
    <t>Intakes routed via ServiceNow only</t>
  </si>
  <si>
    <t>Excludes intakes withdrawn by sponsor</t>
  </si>
  <si>
    <t>Trend over 3 months more meaningful than monthly point estimate</t>
  </si>
  <si>
    <t>COUNTIF(models with current sign-off) / COUNTA(material models)</t>
  </si>
  <si>
    <t>Service Catalog Master; AI Use Case Register</t>
  </si>
  <si>
    <t>&gt;=98% Green; 95-98% Amber; &lt;95% Red</t>
  </si>
  <si>
    <t>Material defined per MRM standard (POL-004)</t>
  </si>
  <si>
    <t>Models in retirement excluded</t>
  </si>
  <si>
    <t>Watch model retirement schedule</t>
  </si>
  <si>
    <t>Claims AI uptime</t>
  </si>
  <si>
    <t>Available minutes / total minutes per month</t>
  </si>
  <si>
    <t>&gt;=99.5% Green; 99-99.5% Amber; &lt;99% Red</t>
  </si>
  <si>
    <t>Planned maintenance excluded</t>
  </si>
  <si>
    <t>Vendor outages reflected in MI</t>
  </si>
  <si>
    <t>Dual-running periods inflate measure</t>
  </si>
  <si>
    <t>Fraud / sanctions FPR within band</t>
  </si>
  <si>
    <t>Cases triggered / cases reviewed; compared to band</t>
  </si>
  <si>
    <t>Fraud platform; sanctions vendor MI</t>
  </si>
  <si>
    <t>&gt;=90% in band Green; &lt;90% Amber</t>
  </si>
  <si>
    <t>Band agreed quarterly</t>
  </si>
  <si>
    <t>Band changes invalidate prior comparison</t>
  </si>
  <si>
    <t>Reviewed alongside SIU feedback</t>
  </si>
  <si>
    <t>Pass count / sampled count</t>
  </si>
  <si>
    <t>Internal QA tracker</t>
  </si>
  <si>
    <t>Random sample of 5%/month</t>
  </si>
  <si>
    <t>Sample seasonality</t>
  </si>
  <si>
    <t>Triangulate with complaints data</t>
  </si>
  <si>
    <t>SOC mean-time-to-triage</t>
  </si>
  <si>
    <t>AVG(triage_minutes)</t>
  </si>
  <si>
    <t>&lt;=15 min Green; 15-20 Amber; &gt;20 Red</t>
  </si>
  <si>
    <t>AI-related alerts only</t>
  </si>
  <si>
    <t>Backlog skews mean; review p90</t>
  </si>
  <si>
    <t>Improving since Copilot for Security adoption</t>
  </si>
  <si>
    <t>Vendors with current DD / total Tier-1 vendors</t>
  </si>
  <si>
    <t>100% Green; 95-99% Amber; &lt;95% Red</t>
  </si>
  <si>
    <t>Annual DD cycle</t>
  </si>
  <si>
    <t>One in flight may temporarily lower</t>
  </si>
  <si>
    <t>Watch contract renewal calendar</t>
  </si>
  <si>
    <t>Rejected items / sampled items</t>
  </si>
  <si>
    <t>&lt;=4% Green; 4-6% Amber; &gt;6% Red</t>
  </si>
  <si>
    <t>Sample 5% per month</t>
  </si>
  <si>
    <t>New document templates can spike</t>
  </si>
  <si>
    <t>Tightly coupled with KRI-008</t>
  </si>
  <si>
    <t>Cases routed within SLA / total</t>
  </si>
  <si>
    <t>Claims triage system</t>
  </si>
  <si>
    <t>Excludes manual override</t>
  </si>
  <si>
    <t>Holiday volumes</t>
  </si>
  <si>
    <t>Monitor with FNOL volume</t>
  </si>
  <si>
    <t>Customer complaints linked to AI</t>
  </si>
  <si>
    <t>AI-coded complaints / 1000 customers / month</t>
  </si>
  <si>
    <t>Complaints system</t>
  </si>
  <si>
    <t>&lt;=0.5 Green; 0.5-1.0 Amber; &gt;1.0 Red</t>
  </si>
  <si>
    <t>Root-cause coding by Complaints team</t>
  </si>
  <si>
    <t>Coding consistency</t>
  </si>
  <si>
    <t>Reviewed at Consumer Duty forum</t>
  </si>
  <si>
    <t>GenAI tooling adoption</t>
  </si>
  <si>
    <t>Active monthly users / eligible users</t>
  </si>
  <si>
    <t>&gt;=70% Green; 60-70% Amber; &lt;60% Red</t>
  </si>
  <si>
    <t>Eligible defined by licence</t>
  </si>
  <si>
    <t>Power users skew</t>
  </si>
  <si>
    <t>Pair with productivity benefit MI</t>
  </si>
  <si>
    <t>Models with material drift in 30d</t>
  </si>
  <si>
    <t>COUNT(models flagged drift)</t>
  </si>
  <si>
    <t>KRI Tracking; MLOps platform</t>
  </si>
  <si>
    <t>&gt;=4 Red; 2-3 Amber; &lt;2 Green</t>
  </si>
  <si>
    <t>Drift threshold per model class</t>
  </si>
  <si>
    <t>Threshold tuning changes baseline</t>
  </si>
  <si>
    <t>Investigate any single Tier-1 case</t>
  </si>
  <si>
    <t>DLP exceptions on GenAI tools</t>
  </si>
  <si>
    <t>COUNT(exceptions raised in month)</t>
  </si>
  <si>
    <t>Microsoft Purview</t>
  </si>
  <si>
    <t>&gt;=20 Red; 10-19 Amber; &lt;10 Green</t>
  </si>
  <si>
    <t>Exceptions = blocked or quarantined</t>
  </si>
  <si>
    <t>Definition shift after policy update</t>
  </si>
  <si>
    <t>Targeted training where concentrated</t>
  </si>
  <si>
    <t>Document AI reject rate</t>
  </si>
  <si>
    <t>Rejected / sampled</t>
  </si>
  <si>
    <t>&gt;=8% Red; 4-7% Amber; &lt;4% Green</t>
  </si>
  <si>
    <t>Sample 5%/month</t>
  </si>
  <si>
    <t>New form templates</t>
  </si>
  <si>
    <t>Cross-check vendor change windows</t>
  </si>
  <si>
    <t>Cloud config drift on AI workloads</t>
  </si>
  <si>
    <t>COUNT(open CSPM findings on AI scope)</t>
  </si>
  <si>
    <t>Microsoft Defender for Cloud</t>
  </si>
  <si>
    <t>&gt;=5 Red; 2-4 Amber; &lt;2 Green</t>
  </si>
  <si>
    <t>Scope tagged ai-workload</t>
  </si>
  <si>
    <t>New policies generate transient findings</t>
  </si>
  <si>
    <t>Track time-to-remediate alongside count</t>
  </si>
  <si>
    <t>DASH-01</t>
  </si>
  <si>
    <t>Dashboard rollups (counts)</t>
  </si>
  <si>
    <t>COUNTIF and COUNTA across detail sheets</t>
  </si>
  <si>
    <t>Multiple</t>
  </si>
  <si>
    <t>Per metric definition</t>
  </si>
  <si>
    <t>All registers populated</t>
  </si>
  <si>
    <t>Rollups dependent on source consistency</t>
  </si>
  <si>
    <t>Reconcile to detail sheet on every refresh</t>
  </si>
  <si>
    <t>RISK-EXP</t>
  </si>
  <si>
    <t>Total quantified residual exposure</t>
  </si>
  <si>
    <t>SUM(Risk Quantification!L5:L17)</t>
  </si>
  <si>
    <t>Reported in £m</t>
  </si>
  <si>
    <t>Owner-confirmed estimates</t>
  </si>
  <si>
    <t>Range estimates not point figures</t>
  </si>
  <si>
    <t>Use as direction not absolute</t>
  </si>
  <si>
    <t>MAT-SCR</t>
  </si>
  <si>
    <t>Maturity score (% of target)</t>
  </si>
  <si>
    <t>SUM(current) / SUM(target)</t>
  </si>
  <si>
    <t>&gt;=90% Green; 75-90% Amber; &lt;75% Red</t>
  </si>
  <si>
    <t>Equal weighting across domains</t>
  </si>
  <si>
    <t>Could weight by criticality</t>
  </si>
  <si>
    <t>Discuss weighting at AIGF annually</t>
  </si>
  <si>
    <t>Technology Stack - AI Estate Tooling Inventory</t>
  </si>
  <si>
    <t>Inventory of platforms, tools and integrations supporting the AI estate. Owner Head of Cloud and AI Security Manager. Cadence half-yearly review.</t>
  </si>
  <si>
    <t>Technology / Tool</t>
  </si>
  <si>
    <t>Lifecycle State</t>
  </si>
  <si>
    <t>Environment</t>
  </si>
  <si>
    <t>Linked Services / Use Cases</t>
  </si>
  <si>
    <t>Security Relevance</t>
  </si>
  <si>
    <t>Microsoft Azure (UK South)</t>
  </si>
  <si>
    <t>Cloud Platform</t>
  </si>
  <si>
    <t>Microsoft</t>
  </si>
  <si>
    <t>Primary cloud platform hosting AI workloads, data and integration services.</t>
  </si>
  <si>
    <t>Strategic</t>
  </si>
  <si>
    <t>Production</t>
  </si>
  <si>
    <t>UK data residency</t>
  </si>
  <si>
    <t>MLOps Platform</t>
  </si>
  <si>
    <t>Feature engineering, model training, registry and governance via Unity Catalog.</t>
  </si>
  <si>
    <t>Tier-1 vendor (VEN-009)</t>
  </si>
  <si>
    <t>Azure OpenAI Service</t>
  </si>
  <si>
    <t>GenAI / LLM</t>
  </si>
  <si>
    <t>LLM hosting for customer-facing copilots and internal assistants.</t>
  </si>
  <si>
    <t>AUC-004,AUC-007,AUC-013,AUC-016</t>
  </si>
  <si>
    <t>Private deployment in UK South</t>
  </si>
  <si>
    <t>Microsoft 365 Copilot</t>
  </si>
  <si>
    <t>GenAI Productivity</t>
  </si>
  <si>
    <t>Workforce productivity copilot integrated with M365 sensitivity labels and Purview.</t>
  </si>
  <si>
    <t>Restricted by Purview labels</t>
  </si>
  <si>
    <t>SIEM/SOAR</t>
  </si>
  <si>
    <t>Cloud-native SIEM/SOAR with AI-assisted SOC analyst experience.</t>
  </si>
  <si>
    <t>Replacing Splunk by Q4 2026</t>
  </si>
  <si>
    <t>Splunk Enterprise</t>
  </si>
  <si>
    <t>SIEM (transitional)</t>
  </si>
  <si>
    <t>Legacy SIEM in dual-running with Sentinel.</t>
  </si>
  <si>
    <t>Sunset Q4 2026</t>
  </si>
  <si>
    <t>Migration RDM-010</t>
  </si>
  <si>
    <t>CSPM/CWP</t>
  </si>
  <si>
    <t>Cloud Security Posture Management and workload protection.</t>
  </si>
  <si>
    <t>Linked to AUC-021</t>
  </si>
  <si>
    <t>Data Governance / DLP</t>
  </si>
  <si>
    <t>Sensitivity labels, DLP for GenAI and data catalog.</t>
  </si>
  <si>
    <t>AUC-006,AUC-007,AUC-008</t>
  </si>
  <si>
    <t>Label inheritance gap on legacy sites</t>
  </si>
  <si>
    <t>PAM</t>
  </si>
  <si>
    <t>CyberArk</t>
  </si>
  <si>
    <t>Privileged access management with session recording.</t>
  </si>
  <si>
    <t>IGA</t>
  </si>
  <si>
    <t>SailPoint</t>
  </si>
  <si>
    <t>Identity governance including access recertification.</t>
  </si>
  <si>
    <t>Quarterly recerts</t>
  </si>
  <si>
    <t>Data Platform</t>
  </si>
  <si>
    <t>Cloud data platform for analytics and feature stores.</t>
  </si>
  <si>
    <t>Tier-1 (VEN-008)</t>
  </si>
  <si>
    <t>Featurespace ARIC</t>
  </si>
  <si>
    <t>Fraud Analytics</t>
  </si>
  <si>
    <t>Adaptive behavioural analytics for fraud detection.</t>
  </si>
  <si>
    <t>ISO 27001 + SOC 2 verified</t>
  </si>
  <si>
    <t>ABBYY Vantage</t>
  </si>
  <si>
    <t>Document AI</t>
  </si>
  <si>
    <t>OCR/NLP for claims document extraction.</t>
  </si>
  <si>
    <t>In Use</t>
  </si>
  <si>
    <t>Privacy review in flight</t>
  </si>
  <si>
    <t>AI damage estimation from motor photos.</t>
  </si>
  <si>
    <t>Security review refresh in progress</t>
  </si>
  <si>
    <t>Speech Analytics</t>
  </si>
  <si>
    <t>NICE</t>
  </si>
  <si>
    <t>Voice transcript analytics for vulnerable customer detection.</t>
  </si>
  <si>
    <t>Tier-1 vendor</t>
  </si>
  <si>
    <t>LexisNexis Bridger</t>
  </si>
  <si>
    <t>Sanctions Screening</t>
  </si>
  <si>
    <t>LexisNexis</t>
  </si>
  <si>
    <t>Sanctions and PEP screening with ML overlay.</t>
  </si>
  <si>
    <t>Annual independent validation</t>
  </si>
  <si>
    <t>ITSM</t>
  </si>
  <si>
    <t>Intake, requests, changes and incidents.</t>
  </si>
  <si>
    <t>Workflow underpinning SVC-001</t>
  </si>
  <si>
    <t>Privacy / GRC</t>
  </si>
  <si>
    <t>DPIA register, control testing, GRC evidence.</t>
  </si>
  <si>
    <t>Used for ISO 42001 control testing</t>
  </si>
  <si>
    <t>Automation Hub - AI Security Control and Evidence Automations</t>
  </si>
  <si>
    <t>Catalogue of automations supporting controls, evidence and operational workflows. Owner AI Security Manager.</t>
  </si>
  <si>
    <t>Automation ID</t>
  </si>
  <si>
    <t>Automation Name</t>
  </si>
  <si>
    <t>Trigger</t>
  </si>
  <si>
    <t>Tool / Platform</t>
  </si>
  <si>
    <t>Linked Control</t>
  </si>
  <si>
    <t>Review Cadence</t>
  </si>
  <si>
    <t>Failure Handling</t>
  </si>
  <si>
    <t>Fallback Manual Control</t>
  </si>
  <si>
    <t>AUT-001</t>
  </si>
  <si>
    <t>Drift alert to SIEM and ServiceNow</t>
  </si>
  <si>
    <t>Raises Sev-2 ticket when production model drift exceeds threshold.</t>
  </si>
  <si>
    <t>Drift threshold breach</t>
  </si>
  <si>
    <t>Databricks + Sentinel + ServiceNow</t>
  </si>
  <si>
    <t>Auto-retry; SIEM alert if pipeline fails</t>
  </si>
  <si>
    <t>Manual drift dashboard review by MLOps</t>
  </si>
  <si>
    <t>18/04/2026</t>
  </si>
  <si>
    <t>AUT-002</t>
  </si>
  <si>
    <t>Use case intake decision routing</t>
  </si>
  <si>
    <t>Routes new AI intake from form to AI Governance Forum agenda.</t>
  </si>
  <si>
    <t>ServiceNow form submission</t>
  </si>
  <si>
    <t>ServiceNow + Power Automate</t>
  </si>
  <si>
    <t>Manual triage by AI Security Manager</t>
  </si>
  <si>
    <t>Email-based intake</t>
  </si>
  <si>
    <t>10/03/2026</t>
  </si>
  <si>
    <t>AUT-003</t>
  </si>
  <si>
    <t>Vendor DD currency reminder</t>
  </si>
  <si>
    <t>Notifies TPRM lead 90/60/30 days ahead of vendor recertification.</t>
  </si>
  <si>
    <t>Calendar</t>
  </si>
  <si>
    <t>Backup email alert</t>
  </si>
  <si>
    <t>Manual TPRM tracker review</t>
  </si>
  <si>
    <t>02/04/2026</t>
  </si>
  <si>
    <t>AUT-004</t>
  </si>
  <si>
    <t>Sensitivity-label inheritance check</t>
  </si>
  <si>
    <t>Detects SharePoint sites without inherited labels and raises remediation ticket.</t>
  </si>
  <si>
    <t>Daily scan</t>
  </si>
  <si>
    <t>Reverts to last good state; alerts CISO</t>
  </si>
  <si>
    <t>Manual site review</t>
  </si>
  <si>
    <t>AUT-005</t>
  </si>
  <si>
    <t>Cloud cost anomaly alert</t>
  </si>
  <si>
    <t>Detects abnormal cloud spend patterns and notifies FinOps and cloud owner.</t>
  </si>
  <si>
    <t>Anomaly score &gt; threshold</t>
  </si>
  <si>
    <t>Internal anomaly model + Defender for Cloud</t>
  </si>
  <si>
    <t>Auto-retry; Sev-3 ticket if pipeline fails</t>
  </si>
  <si>
    <t>Manual cost review monthly</t>
  </si>
  <si>
    <t>AUT-006</t>
  </si>
  <si>
    <t>Output sample QA selection</t>
  </si>
  <si>
    <t>Randomly samples 5% of AI outputs for human QA review.</t>
  </si>
  <si>
    <t>Daily 06:00 UK</t>
  </si>
  <si>
    <t>Internal scheduler</t>
  </si>
  <si>
    <t>CTL-003,CTL-008</t>
  </si>
  <si>
    <t>Re-run on next day; alert on second failure</t>
  </si>
  <si>
    <t>Manual sample selection by team lead</t>
  </si>
  <si>
    <t>20/04/2026</t>
  </si>
  <si>
    <t>AUT-007</t>
  </si>
  <si>
    <t>GenAI prompt log ingestion</t>
  </si>
  <si>
    <t>Streams prompt and output telemetry to SIEM with redaction of restricted data.</t>
  </si>
  <si>
    <t>Real-time</t>
  </si>
  <si>
    <t>Sentinel + custom collectors</t>
  </si>
  <si>
    <t>SVC-005,SVC-007,SVC-014</t>
  </si>
  <si>
    <t>Buffer + retry; SOC alert on collector outage</t>
  </si>
  <si>
    <t>Spot-check console logs</t>
  </si>
  <si>
    <t>AUT-008</t>
  </si>
  <si>
    <t>PAM session recording archive</t>
  </si>
  <si>
    <t>Archives privileged session recordings to retention store.</t>
  </si>
  <si>
    <t>Session end</t>
  </si>
  <si>
    <t>CyberArk + Azure storage</t>
  </si>
  <si>
    <t>Local cache + retry</t>
  </si>
  <si>
    <t>Manual export from PAM</t>
  </si>
  <si>
    <t>15/03/2026</t>
  </si>
  <si>
    <t>AUT-009</t>
  </si>
  <si>
    <t>Access recert reminder and escalation</t>
  </si>
  <si>
    <t>Sends recert reminders, escalates after 7/14 days, locks access at 21 days.</t>
  </si>
  <si>
    <t>Recert cycle calendar</t>
  </si>
  <si>
    <t>Manual notification by IAM lead</t>
  </si>
  <si>
    <t>Manual recert in spreadsheet</t>
  </si>
  <si>
    <t>31/03/2026</t>
  </si>
  <si>
    <t>AUT-010</t>
  </si>
  <si>
    <t>Audit evidence collection scheduler</t>
  </si>
  <si>
    <t>Collects monthly evidence packs into GRC repo for ISO 42001 readiness.</t>
  </si>
  <si>
    <t>Monthly 1st</t>
  </si>
  <si>
    <t>OneTrust + Power Automate</t>
  </si>
  <si>
    <t>CTL-001..016</t>
  </si>
  <si>
    <t>SVC-001,SVC-002</t>
  </si>
  <si>
    <t>Manual collection by control owners if pipeline fails</t>
  </si>
  <si>
    <t>Manual evidence collection</t>
  </si>
  <si>
    <t>AUT-011</t>
  </si>
  <si>
    <t>Hallucination filter regression test</t>
  </si>
  <si>
    <t>Runs canonical question battery against vendor LLM after each model update.</t>
  </si>
  <si>
    <t>Vendor model update event</t>
  </si>
  <si>
    <t>Internal test harness</t>
  </si>
  <si>
    <t>Block release if pass rate &lt;95%</t>
  </si>
  <si>
    <t>Manual sample QA</t>
  </si>
  <si>
    <t>04/04/2026</t>
  </si>
  <si>
    <t>AUT-012</t>
  </si>
  <si>
    <t>Vendor outage detection</t>
  </si>
  <si>
    <t>Monitors vendor health endpoints; raises Sev-2 ticket on degradation.</t>
  </si>
  <si>
    <t>Health check failure</t>
  </si>
  <si>
    <t>Sentinel + custom synthetic monitors</t>
  </si>
  <si>
    <t>SVC-003,SVC-005</t>
  </si>
  <si>
    <t>Multi-region failover</t>
  </si>
  <si>
    <t>Manual fallback per BCP</t>
  </si>
  <si>
    <t>03/03/2026</t>
  </si>
  <si>
    <t>Resource Planning - AI Security Function Workforce Plan</t>
  </si>
  <si>
    <t>Roles, FTE, sourcing model and skills mix for the AI Security function. Owner AI Security Manager. Cadence reviewed half-yearly with HR.</t>
  </si>
  <si>
    <t>Role ID</t>
  </si>
  <si>
    <t>Role Title</t>
  </si>
  <si>
    <t>FTE Current</t>
  </si>
  <si>
    <t>FTE Target</t>
  </si>
  <si>
    <t>Core Skills</t>
  </si>
  <si>
    <t>Coverage Area</t>
  </si>
  <si>
    <t>Dependency Risk</t>
  </si>
  <si>
    <t>Training Requirement</t>
  </si>
  <si>
    <t>Hiring or Succession Need</t>
  </si>
  <si>
    <t>Timeline Notes</t>
  </si>
  <si>
    <t>Resource Summary</t>
  </si>
  <si>
    <t>RES-001</t>
  </si>
  <si>
    <t>AI governance, GRC, ISO 42001, third-party risk, security architecture</t>
  </si>
  <si>
    <t>All AI estate</t>
  </si>
  <si>
    <t>High - single-point dependency</t>
  </si>
  <si>
    <t>ISO 42001 lead implementer (target Q3)</t>
  </si>
  <si>
    <t>Identify 2-up succession candidate</t>
  </si>
  <si>
    <t>Stable in role since Jan-25</t>
  </si>
  <si>
    <t>Total Roles</t>
  </si>
  <si>
    <t>Senior AI Risk Analyst</t>
  </si>
  <si>
    <t>Risks, KRIs, model assurance</t>
  </si>
  <si>
    <t>NIST AI RMF practitioner; UK Consumer Duty</t>
  </si>
  <si>
    <t>One vacancy approved; recruiting</t>
  </si>
  <si>
    <t>Hire by 30/09/2026</t>
  </si>
  <si>
    <t>Current FTE</t>
  </si>
  <si>
    <t>RES-003</t>
  </si>
  <si>
    <t>AI Security Engineer</t>
  </si>
  <si>
    <t>Cloud security, MLOps security, prompt injection defence, SIEM detection content</t>
  </si>
  <si>
    <t>Cloud Security and IAM services</t>
  </si>
  <si>
    <t>AZ-500; SC-200; secure ML</t>
  </si>
  <si>
    <t>One vacancy in flight</t>
  </si>
  <si>
    <t>Hire by 31/07/2026</t>
  </si>
  <si>
    <t>Target FTE</t>
  </si>
  <si>
    <t>RES-004</t>
  </si>
  <si>
    <t>MLOps and Monitoring Lead</t>
  </si>
  <si>
    <t>Drift, performance, bias monitoring; Databricks platform; SIEM integration</t>
  </si>
  <si>
    <t>Model monitoring service (SVC-010)</t>
  </si>
  <si>
    <t>Databricks data engineer; ISO 42001 awareness</t>
  </si>
  <si>
    <t>Identify deputy from Persistent Systems pool</t>
  </si>
  <si>
    <t>Deputy by 31/12/2026</t>
  </si>
  <si>
    <t>Gap (FTE)</t>
  </si>
  <si>
    <t>RES-005</t>
  </si>
  <si>
    <t>Third-Party AI Risk Lead</t>
  </si>
  <si>
    <t>Vendor due diligence, contracts, exit planning</t>
  </si>
  <si>
    <t>Third-Party Risk Services (SVC-015)</t>
  </si>
  <si>
    <t>PRA Operational Resilience; FCA SYSC 8</t>
  </si>
  <si>
    <t>Internal FTE roles</t>
  </si>
  <si>
    <t>Privacy and DPIA Specialist</t>
  </si>
  <si>
    <t>Privacy reviews; Compliance assistant</t>
  </si>
  <si>
    <t>ISO 27701 practitioner</t>
  </si>
  <si>
    <t>Reports to DPO</t>
  </si>
  <si>
    <t>External roles</t>
  </si>
  <si>
    <t>RES-007</t>
  </si>
  <si>
    <t>AI Compliance Analyst</t>
  </si>
  <si>
    <t>Compliance mapping, control testing, evidence collection</t>
  </si>
  <si>
    <t>Compliance Mapping; audit support</t>
  </si>
  <si>
    <t>ISO 42001 internal auditor</t>
  </si>
  <si>
    <t>One vacancy approved</t>
  </si>
  <si>
    <t>Hire by 31/08/2026</t>
  </si>
  <si>
    <t>High Dependency Roles</t>
  </si>
  <si>
    <t>RES-008</t>
  </si>
  <si>
    <t>AI Assurance Tester</t>
  </si>
  <si>
    <t>Control testing, fairness testing, hallucination QA</t>
  </si>
  <si>
    <t>Sample QA across customer-facing AI</t>
  </si>
  <si>
    <t>Bias and fairness testing</t>
  </si>
  <si>
    <t>Hire by 30/11/2026</t>
  </si>
  <si>
    <t>Open Vacancies</t>
  </si>
  <si>
    <t>RES-009</t>
  </si>
  <si>
    <t>Senior MLOps Engineer (Augmentation)</t>
  </si>
  <si>
    <t>Outsourced</t>
  </si>
  <si>
    <t>Databricks, Azure ML, monitoring pipelines</t>
  </si>
  <si>
    <t>MLOps platform support</t>
  </si>
  <si>
    <t>Medium - vendor concentration</t>
  </si>
  <si>
    <t>Refresh AI-specific contract clauses</t>
  </si>
  <si>
    <t>Renewal in flight (ACT-008)</t>
  </si>
  <si>
    <t>Renewal due Jun-26</t>
  </si>
  <si>
    <t>RES-010</t>
  </si>
  <si>
    <t>SOC Analyst (AI Workloads)</t>
  </si>
  <si>
    <t>Managed Service</t>
  </si>
  <si>
    <t>Sentinel, Copilot for Security, prompt injection detection</t>
  </si>
  <si>
    <t>SOC AI scope</t>
  </si>
  <si>
    <t>AI/ML detection content authoring</t>
  </si>
  <si>
    <t>RES-011</t>
  </si>
  <si>
    <t>Vendor Risk Analyst</t>
  </si>
  <si>
    <t>DD, contract clauses, GRC tooling</t>
  </si>
  <si>
    <t>TPRM operations</t>
  </si>
  <si>
    <t>GRC tooling certification</t>
  </si>
  <si>
    <t>RES-012</t>
  </si>
  <si>
    <t>Programme Coordinator (ISO 42001 Readiness)</t>
  </si>
  <si>
    <t>Contractor</t>
  </si>
  <si>
    <t>Programme management, evidence coordination</t>
  </si>
  <si>
    <t>Low - time-bounded</t>
  </si>
  <si>
    <t>ISO 42001 lead implementer awareness</t>
  </si>
  <si>
    <t>Engagement to Q4 2026</t>
  </si>
  <si>
    <t>Programme RDM-007</t>
  </si>
  <si>
    <t>Financial Analysis - AI Security Function FY2026/27 Budget</t>
  </si>
  <si>
    <t>Run, change and contingency budget for the AI Security function. Owner AI Security Manager and Finance Business Partner. All values in GBP thousands.</t>
  </si>
  <si>
    <t>Budget Line ID</t>
  </si>
  <si>
    <t>Budget Line</t>
  </si>
  <si>
    <t>Run/Change</t>
  </si>
  <si>
    <t>Monthly Equivalent</t>
  </si>
  <si>
    <t>Commentary</t>
  </si>
  <si>
    <t>Budget Summary</t>
  </si>
  <si>
    <t>FIN-001</t>
  </si>
  <si>
    <t>AI Security Manager (Salary + on-costs)</t>
  </si>
  <si>
    <t>Staff - Run</t>
  </si>
  <si>
    <t>In-line with FY budget</t>
  </si>
  <si>
    <t>Total Run</t>
  </si>
  <si>
    <t>FIN-002</t>
  </si>
  <si>
    <t>Senior AI Risk Analysts (3 FTE target; 2 current)</t>
  </si>
  <si>
    <t>Vacancy underspend; recruitment in flight</t>
  </si>
  <si>
    <t>Total Change</t>
  </si>
  <si>
    <t>FIN-003</t>
  </si>
  <si>
    <t>AI Security Engineers (3 FTE target; 2 current)</t>
  </si>
  <si>
    <t>Vacancy underspend</t>
  </si>
  <si>
    <t>FIN-004</t>
  </si>
  <si>
    <t>TOTAL</t>
  </si>
  <si>
    <t>FIN-005</t>
  </si>
  <si>
    <t>Run as % of total</t>
  </si>
  <si>
    <t>FIN-006</t>
  </si>
  <si>
    <t>Recharged</t>
  </si>
  <si>
    <t>Change as % of total</t>
  </si>
  <si>
    <t>FIN-007</t>
  </si>
  <si>
    <t>AI Compliance Analyst (2 FTE target; 1 current)</t>
  </si>
  <si>
    <t>Net Variance</t>
  </si>
  <si>
    <t>FIN-008</t>
  </si>
  <si>
    <t>AI Assurance Tester (2 FTE target; 1 current)</t>
  </si>
  <si>
    <t>Vacancy Underspend</t>
  </si>
  <si>
    <t>FIN-009</t>
  </si>
  <si>
    <t>Outsourced MLOps engineering (Persistent Systems)</t>
  </si>
  <si>
    <t>Vendor - Run</t>
  </si>
  <si>
    <t>Renewal repricing in flight</t>
  </si>
  <si>
    <t>FIN-010</t>
  </si>
  <si>
    <t>SOC managed service (AI workload coverage allocation)</t>
  </si>
  <si>
    <t>Recharged from Cyber</t>
  </si>
  <si>
    <t>FIN-011</t>
  </si>
  <si>
    <t>Microsoft Azure (AI workloads run-rate)</t>
  </si>
  <si>
    <t>Cloud - Run</t>
  </si>
  <si>
    <t>Slight uplift; AUC-021 saving 50k</t>
  </si>
  <si>
    <t>FIN-012</t>
  </si>
  <si>
    <t>Databricks platform</t>
  </si>
  <si>
    <t>FIN-013</t>
  </si>
  <si>
    <t>Microsoft 365 Copilot licences (~600 users)</t>
  </si>
  <si>
    <t>Software - Run</t>
  </si>
  <si>
    <t>Per-user licence</t>
  </si>
  <si>
    <t>FIN-014</t>
  </si>
  <si>
    <t>Azure OpenAI consumption (production)</t>
  </si>
  <si>
    <t>Volume growth in line with adoption</t>
  </si>
  <si>
    <t>FIN-015</t>
  </si>
  <si>
    <t>Vendor AI software (Featurespace, ABBYY, NICE, LexisNexis, Tractable)</t>
  </si>
  <si>
    <t>Procurement</t>
  </si>
  <si>
    <t>Per individual contract</t>
  </si>
  <si>
    <t>FIN-016</t>
  </si>
  <si>
    <t>Strategic SIEM/SOAR</t>
  </si>
  <si>
    <t>FIN-017</t>
  </si>
  <si>
    <t>OneTrust GRC</t>
  </si>
  <si>
    <t>DPIA + ISO 42001 control testing</t>
  </si>
  <si>
    <t>FIN-018</t>
  </si>
  <si>
    <t>Splunk (transitional) - dual running cost</t>
  </si>
  <si>
    <t>Retires Q4 2026</t>
  </si>
  <si>
    <t>SUBTOTAL-RUN</t>
  </si>
  <si>
    <t>Subtotal - Run</t>
  </si>
  <si>
    <t>FIN-019</t>
  </si>
  <si>
    <t>ISO 42001 readiness programme (advisory + internal)</t>
  </si>
  <si>
    <t>KPMG advisory + Programme Coordinator</t>
  </si>
  <si>
    <t>FIN-020</t>
  </si>
  <si>
    <t>AI security tooling enhancements (DLP, prompt logging)</t>
  </si>
  <si>
    <t>Aligned to RDM-002</t>
  </si>
  <si>
    <t>FIN-021</t>
  </si>
  <si>
    <t>FIN-022</t>
  </si>
  <si>
    <t>Sensitivity-label remediation programme</t>
  </si>
  <si>
    <t>Closes CTL-006 gap</t>
  </si>
  <si>
    <t>FIN-023</t>
  </si>
  <si>
    <t>Model monitoring coverage uplift (Tier 2)</t>
  </si>
  <si>
    <t>FIN-024</t>
  </si>
  <si>
    <t>FIN-025</t>
  </si>
  <si>
    <t>Vendor exit planning programme</t>
  </si>
  <si>
    <t>FIN-026</t>
  </si>
  <si>
    <t>Training and awareness programme (AI users)</t>
  </si>
  <si>
    <t>Lifts CTL-016 from Partial to Implemented</t>
  </si>
  <si>
    <t>SUBTOTAL-CHG</t>
  </si>
  <si>
    <t>Subtotal - Change</t>
  </si>
  <si>
    <t>FIN-027</t>
  </si>
  <si>
    <t>Contingency (5% of run + change)</t>
  </si>
  <si>
    <t>Risk-based</t>
  </si>
  <si>
    <t>TOTAL ANNUAL BUDGET</t>
  </si>
  <si>
    <t>Implementation Roadmap - AI Security Programme FY2026/27 to FY2027/28</t>
  </si>
  <si>
    <t>Phased delivery plan addressing maturity gaps, control improvements and strategic outcomes. Owner AI Security Manager. Cadence quarterly steering review.</t>
  </si>
  <si>
    <t>Roadmap ID</t>
  </si>
  <si>
    <t>Workstream</t>
  </si>
  <si>
    <t>Milestone</t>
  </si>
  <si>
    <t>Linked Maturity/Risk/Control</t>
  </si>
  <si>
    <t>Start Date</t>
  </si>
  <si>
    <t>End Date</t>
  </si>
  <si>
    <t>% Complete</t>
  </si>
  <si>
    <t>Phase</t>
  </si>
  <si>
    <t>Dependency</t>
  </si>
  <si>
    <t>Days to End</t>
  </si>
  <si>
    <t>Roadmap Summary</t>
  </si>
  <si>
    <t>Customer-Facing AI Uplift</t>
  </si>
  <si>
    <t>Customer-facing AI guardrail uplift (output filter, hallucination QA, complaint linkage)</t>
  </si>
  <si>
    <t>RSK-005,CTL-010,MAT-09</t>
  </si>
  <si>
    <t>15/01/2026</t>
  </si>
  <si>
    <t>Phase 2 - Embed</t>
  </si>
  <si>
    <t>VEN-001 capability</t>
  </si>
  <si>
    <t>Salesforce Einstein-feature decision pending</t>
  </si>
  <si>
    <t>Total Items</t>
  </si>
  <si>
    <t>GenAI productivity tooling sensitivity-label remediation programme</t>
  </si>
  <si>
    <t>RSK-008,CTL-006,MAT-04</t>
  </si>
  <si>
    <t>01/02/2026</t>
  </si>
  <si>
    <t>Microsoft Purview rollout</t>
  </si>
  <si>
    <t>On Track / In Progress</t>
  </si>
  <si>
    <t>Pricing/UW Assurance</t>
  </si>
  <si>
    <t>Pricing fairness review programme uplift; bias testing harness</t>
  </si>
  <si>
    <t>RSK-001,RSK-004,CTL-014,MAT-02</t>
  </si>
  <si>
    <t>30/06/2027</t>
  </si>
  <si>
    <t>Actuarial sign-off</t>
  </si>
  <si>
    <t>Embedded in pricing committee</t>
  </si>
  <si>
    <t>Completed</t>
  </si>
  <si>
    <t>Claims AI Resilience</t>
  </si>
  <si>
    <t>Tier 2 DR plan refresh and tabletop exercise programme</t>
  </si>
  <si>
    <t>RSK-002,CTL-005,MAT-08</t>
  </si>
  <si>
    <t>BCP team capacity</t>
  </si>
  <si>
    <t>Aligned with PRA operational resilience</t>
  </si>
  <si>
    <t>Delayed</t>
  </si>
  <si>
    <t>Vendor exit planning for Tier-1 AI providers (incl. VEN-001 and VEN-006)</t>
  </si>
  <si>
    <t>RSK-003,CTL-011,MAT-06</t>
  </si>
  <si>
    <t>01/04/2026</t>
  </si>
  <si>
    <t>Legal capacity for substitutability</t>
  </si>
  <si>
    <t>Two plans drafted; remainder due</t>
  </si>
  <si>
    <t>Not Started</t>
  </si>
  <si>
    <t>Document AI Hardening</t>
  </si>
  <si>
    <t>Vendor change-window controls and QA harness expansion</t>
  </si>
  <si>
    <t>RSK-006,CTL-007,MAT-05</t>
  </si>
  <si>
    <t>ABBYY vendor cooperation</t>
  </si>
  <si>
    <t>Triggered by INC-008</t>
  </si>
  <si>
    <t>Average % Complete</t>
  </si>
  <si>
    <t>ISO/IEC 42001 internal readiness assessment and remediation</t>
  </si>
  <si>
    <t>All controls; MAT-09</t>
  </si>
  <si>
    <t>Phase 1 - Foundation</t>
  </si>
  <si>
    <t>KPMG advisory; control evidence library</t>
  </si>
  <si>
    <t>Aimed at certification readiness Q1 2027</t>
  </si>
  <si>
    <t>Phase 1 Items</t>
  </si>
  <si>
    <t>AI lifecycle management framework v2 (intake-to-retirement playbooks)</t>
  </si>
  <si>
    <t>CTL-001,MAT-07</t>
  </si>
  <si>
    <t>31/10/2026</t>
  </si>
  <si>
    <t>AIGF approval</t>
  </si>
  <si>
    <t>Embeds quarterly review cadence</t>
  </si>
  <si>
    <t>Phase 2 Items</t>
  </si>
  <si>
    <t>AI Knowledge Management</t>
  </si>
  <si>
    <t>Compliance and HR knowledge corpus controls plus bias review framework</t>
  </si>
  <si>
    <t>CTL-016,MAT-03</t>
  </si>
  <si>
    <t>Compliance team capacity</t>
  </si>
  <si>
    <t>Supports AUC-008 and AUC-016</t>
  </si>
  <si>
    <t>SOC and SIEM Modernisation</t>
  </si>
  <si>
    <t>Splunk to Sentinel migration; Copilot for Security expansion to Azure subs</t>
  </si>
  <si>
    <t>RSK-010,CTL-013,MAT-03</t>
  </si>
  <si>
    <t>Splunk co-existence licences</t>
  </si>
  <si>
    <t>Critical to retire dual-running cost</t>
  </si>
  <si>
    <t>RDM-011</t>
  </si>
  <si>
    <t>Operating Model</t>
  </si>
  <si>
    <t>AI Security operating model uplift (FTE plan plus sourcing model refresh)</t>
  </si>
  <si>
    <t>Phase 3 - Optimise</t>
  </si>
  <si>
    <t>HR/Finance</t>
  </si>
  <si>
    <t>Ties to vacancies in Resource Plan</t>
  </si>
  <si>
    <t>Resilience Modelling</t>
  </si>
  <si>
    <t>Quantitative scenario modelling refresh for AI risks</t>
  </si>
  <si>
    <t>RSK-001 to RSK-013;MAT-02</t>
  </si>
  <si>
    <t>01/07/2026</t>
  </si>
  <si>
    <t>Risk function support</t>
  </si>
  <si>
    <t>Improves quantification depth</t>
  </si>
  <si>
    <t>Business Continuity - AI Service Resilience Register</t>
  </si>
  <si>
    <t>Continuity profile for material AI services. Owner Operational Resilience Committee (COM-009). Cadence half-yearly exercises, quarterly attestation.</t>
  </si>
  <si>
    <t>Critical Service / Use Case</t>
  </si>
  <si>
    <t>Continuity Tier</t>
  </si>
  <si>
    <t>RTO</t>
  </si>
  <si>
    <t>RPO</t>
  </si>
  <si>
    <t>Fallback Mode</t>
  </si>
  <si>
    <t>Manual Workaround</t>
  </si>
  <si>
    <t>Test Cadence</t>
  </si>
  <si>
    <t>Last Test</t>
  </si>
  <si>
    <t>Next Test</t>
  </si>
  <si>
    <t>Owner / Resilience Risk</t>
  </si>
  <si>
    <t>BCP Summary</t>
  </si>
  <si>
    <t>AUC-001 Underwriting Decision Support</t>
  </si>
  <si>
    <t>Mission Critical</t>
  </si>
  <si>
    <t>4 hours</t>
  </si>
  <si>
    <t>15 min</t>
  </si>
  <si>
    <t>Champion-challenger model and rule-based scoring fallback</t>
  </si>
  <si>
    <t>Underwriter manual scoring with reduced book limits</t>
  </si>
  <si>
    <t>Databricks (VEN-009)</t>
  </si>
  <si>
    <t>18/03/2027</t>
  </si>
  <si>
    <t>Sarah Mitchell - critical to UW throughput</t>
  </si>
  <si>
    <t>Critical Services</t>
  </si>
  <si>
    <t>AUC-002 Claims Triage Motor FNOL</t>
  </si>
  <si>
    <t>2 hours</t>
  </si>
  <si>
    <t>Rule-based triage and direct routing to complex queue</t>
  </si>
  <si>
    <t>Manual FNOL handler triage</t>
  </si>
  <si>
    <t>Internal model + claims platform</t>
  </si>
  <si>
    <t>12/02/2026</t>
  </si>
  <si>
    <t>12/08/2026</t>
  </si>
  <si>
    <t>James Whitfield - peak FNOL impact</t>
  </si>
  <si>
    <t>AUC-003 Fraud Detection</t>
  </si>
  <si>
    <t>8 hours</t>
  </si>
  <si>
    <t>1 hour</t>
  </si>
  <si>
    <t>Vendor signals only with conservative thresholds</t>
  </si>
  <si>
    <t>SIU manual review with conservative red-flag list</t>
  </si>
  <si>
    <t>Featurespace (VEN-002)</t>
  </si>
  <si>
    <t>05/01/2027</t>
  </si>
  <si>
    <t>Helen Carter - leakage exposure</t>
  </si>
  <si>
    <t>AUC-004 Customer Service Copilot</t>
  </si>
  <si>
    <t>Disable suggestions; agent uses standard knowledge base</t>
  </si>
  <si>
    <t>Standard agent script and knowledge base</t>
  </si>
  <si>
    <t>Azure OpenAI (VEN-001)</t>
  </si>
  <si>
    <t>18/09/2026</t>
  </si>
  <si>
    <t>Olivia Bennett - AHT degradation</t>
  </si>
  <si>
    <t>Medium/Low</t>
  </si>
  <si>
    <t>AUC-005 Document Intelligence</t>
  </si>
  <si>
    <t>Reduced confidence threshold plus manual handling</t>
  </si>
  <si>
    <t>Manual keying by claims handlers</t>
  </si>
  <si>
    <t>ABBYY (VEN-003)</t>
  </si>
  <si>
    <t>28/01/2027</t>
  </si>
  <si>
    <t>James Whitfield - cycle-time impact</t>
  </si>
  <si>
    <t>Tested in last 90d</t>
  </si>
  <si>
    <t>AUC-009 Model Monitoring Service</t>
  </si>
  <si>
    <t>Reduced telemetry pipeline; manual dashboard review</t>
  </si>
  <si>
    <t>Spot-check dashboards by MLOps engineer</t>
  </si>
  <si>
    <t>Databricks + Sentinel</t>
  </si>
  <si>
    <t>30/03/2027</t>
  </si>
  <si>
    <t>Mohammed Iqbal - assurance gap risk</t>
  </si>
  <si>
    <t>Half-yearly tests</t>
  </si>
  <si>
    <t>AUC-011 Vulnerable Customer Detection</t>
  </si>
  <si>
    <t>Manual flagging by trained agents</t>
  </si>
  <si>
    <t>Specialist routing on agent flag</t>
  </si>
  <si>
    <t>NICE (VEN-004)</t>
  </si>
  <si>
    <t>24/02/2027</t>
  </si>
  <si>
    <t>Olivia Bennett - Consumer Duty exposure</t>
  </si>
  <si>
    <t>AUC-014 Sanctions/PEP Screening</t>
  </si>
  <si>
    <t>Vendor screening only without ML overlay</t>
  </si>
  <si>
    <t>Manual review with conservative thresholds</t>
  </si>
  <si>
    <t>LexisNexis (VEN-005)</t>
  </si>
  <si>
    <t>26/02/2027</t>
  </si>
  <si>
    <t>Rebecca Lloyd - regulatory exposure</t>
  </si>
  <si>
    <t>AUC-017 SOC Copilot</t>
  </si>
  <si>
    <t>Standard SIEM playbooks without AI assist</t>
  </si>
  <si>
    <t>Analyst-led triage with extended SLAs</t>
  </si>
  <si>
    <t>Sentinel (VEN-006)</t>
  </si>
  <si>
    <t>02/03/2027</t>
  </si>
  <si>
    <t>Karen Holloway - MTTT degradation</t>
  </si>
  <si>
    <t>AUC-019 Image Damage Estimation</t>
  </si>
  <si>
    <t>Engineer dispatch with priority routing</t>
  </si>
  <si>
    <t>Engineer-only assessment</t>
  </si>
  <si>
    <t>Tractable (VEN-007)</t>
  </si>
  <si>
    <t>10/02/2027</t>
  </si>
  <si>
    <t>AUC-013 Smart Search Customer Portal</t>
  </si>
  <si>
    <t>Disable smart search; static FAQ page</t>
  </si>
  <si>
    <t>Static FAQ and contact us route</t>
  </si>
  <si>
    <t>03/04/2027</t>
  </si>
  <si>
    <t>Olivia Bennett - self-serve degradation</t>
  </si>
  <si>
    <t>AUC-022 Internal Audit Analytics</t>
  </si>
  <si>
    <t>24 hours</t>
  </si>
  <si>
    <t>Standard sample-based audit testing</t>
  </si>
  <si>
    <t>Audit team manual testing</t>
  </si>
  <si>
    <t>13/03/2027</t>
  </si>
  <si>
    <t>Liam Carmichael - audit coverage delay</t>
  </si>
  <si>
    <t>AUC-021 Cloud Cost Anomaly</t>
  </si>
  <si>
    <t>72 hours</t>
  </si>
  <si>
    <t>Manual cost review by FinOps</t>
  </si>
  <si>
    <t>Manual review of Azure Cost Management</t>
  </si>
  <si>
    <t>Internal anomaly model</t>
  </si>
  <si>
    <t>08/04/2027</t>
  </si>
  <si>
    <t>Karen Holloway - cost surprise</t>
  </si>
  <si>
    <t>AUC-006 M365 Copilot</t>
  </si>
  <si>
    <t>Disable Copilot; standard M365</t>
  </si>
  <si>
    <t>Standard M365 productivity tools</t>
  </si>
  <si>
    <t>Microsoft (VEN-001)</t>
  </si>
  <si>
    <t>14/04/2027</t>
  </si>
  <si>
    <t>Karen Holloway - productivity dip</t>
  </si>
  <si>
    <t>Reference Data - Dropdown Lists and Validation Rules</t>
  </si>
  <si>
    <t>Centralised controlled vocabulary referenced by data validation across the workbook. Owner AI Governance Office. Last reviewed 02/05/2026.</t>
  </si>
  <si>
    <t>RAG</t>
  </si>
  <si>
    <t>Personal Data Flag</t>
  </si>
  <si>
    <t>Maturity Level</t>
  </si>
  <si>
    <t>Trend Direction</t>
  </si>
  <si>
    <t>Incident Category</t>
  </si>
  <si>
    <t>Request Type</t>
  </si>
  <si>
    <t>Committee</t>
  </si>
  <si>
    <t>Roadmap Phase</t>
  </si>
  <si>
    <t>Policy Type</t>
  </si>
  <si>
    <t>Control Status</t>
  </si>
  <si>
    <t>Framework</t>
  </si>
  <si>
    <t>Draft</t>
  </si>
  <si>
    <t>Planned</t>
  </si>
  <si>
    <t>Accept</t>
  </si>
  <si>
    <t>Initial</t>
  </si>
  <si>
    <t>AI Misuse</t>
  </si>
  <si>
    <t>Phase 1 Foundation</t>
  </si>
  <si>
    <t>Policy</t>
  </si>
  <si>
    <t>ISO/IEC 42001</t>
  </si>
  <si>
    <t>Pending Review</t>
  </si>
  <si>
    <t>UAT</t>
  </si>
  <si>
    <t>Developing</t>
  </si>
  <si>
    <t>Phase 2 Embed</t>
  </si>
  <si>
    <t>Standard</t>
  </si>
  <si>
    <t>ISO/IEC 27001</t>
  </si>
  <si>
    <t>Deep Learning</t>
  </si>
  <si>
    <t>Development</t>
  </si>
  <si>
    <t>Transfer</t>
  </si>
  <si>
    <t>Phase 3 Optimise</t>
  </si>
  <si>
    <t>Procedure</t>
  </si>
  <si>
    <t>ISO/IEC 27701</t>
  </si>
  <si>
    <t>Sev 4</t>
  </si>
  <si>
    <t>Overdue</t>
  </si>
  <si>
    <t>On-Premise</t>
  </si>
  <si>
    <t>Sandbox</t>
  </si>
  <si>
    <t>Avoid</t>
  </si>
  <si>
    <t>Phase 4 Mature</t>
  </si>
  <si>
    <t>Guideline</t>
  </si>
  <si>
    <t>Not Implemented</t>
  </si>
  <si>
    <t>ISO 31000</t>
  </si>
  <si>
    <t>Rejected</t>
  </si>
  <si>
    <t>Compensating</t>
  </si>
  <si>
    <t>NIST AI RMF</t>
  </si>
  <si>
    <t>Retired</t>
  </si>
  <si>
    <t>Prompt Injection</t>
  </si>
  <si>
    <t>FCA SYSC</t>
  </si>
  <si>
    <t>Recommender</t>
  </si>
  <si>
    <t>PRA SS1/23</t>
  </si>
  <si>
    <t>Under Review</t>
  </si>
  <si>
    <t>Logging Gap</t>
  </si>
  <si>
    <t>GDPR/UK DPA</t>
  </si>
  <si>
    <t>Decision Support</t>
  </si>
  <si>
    <t>Privacy Breach</t>
  </si>
  <si>
    <t>Training</t>
  </si>
  <si>
    <t>RPA+ML</t>
  </si>
  <si>
    <t>Control Failure</t>
  </si>
  <si>
    <t>Advisory</t>
  </si>
  <si>
    <t>ID Glossary and Navigation Index - Workbook ID Prefixes and Live Register</t>
  </si>
  <si>
    <t>Centralised glossary of every ID prefix used in this workbook plus a live register of actual IDs with hyperlinks back to the owning sheet. Owner AI Security Manager. Use this sheet as the master reference for cross-sheet traceability.</t>
  </si>
  <si>
    <t>1. ID Prefix Glossary</t>
  </si>
  <si>
    <t>ID Prefix</t>
  </si>
  <si>
    <t>Entity Type</t>
  </si>
  <si>
    <t>Examples</t>
  </si>
  <si>
    <t>Owning Sheet</t>
  </si>
  <si>
    <t>Count</t>
  </si>
  <si>
    <t>Notes on Use</t>
  </si>
  <si>
    <t>AUC</t>
  </si>
  <si>
    <t>AI Use Case</t>
  </si>
  <si>
    <t>Records of AI/ML use cases in the AI estate. Anchor entity of the workbook.</t>
  </si>
  <si>
    <t>AUC-001 Underwriting; AUC-004 Voice Agent; AUC-019 Image Damage</t>
  </si>
  <si>
    <t>Linked from Risks Controls KPIs KRIs Incidents Vendors Roadmap Evidence BCP</t>
  </si>
  <si>
    <t>SVC</t>
  </si>
  <si>
    <t>Service</t>
  </si>
  <si>
    <t>AI Security and Governance services delivered to the business and AI service owners</t>
  </si>
  <si>
    <t>SVC-001 Use Case Intake; SVC-002 Model Assurance; SVC-010 Drift Monitoring</t>
  </si>
  <si>
    <t>Linked to SLA-SLO Definitions and Service Request Log</t>
  </si>
  <si>
    <t>RSK</t>
  </si>
  <si>
    <t>Quantified AI risks with inherent and residual scoring 1-5 likelihood and impact</t>
  </si>
  <si>
    <t>RSK-001 Drift; RSK-005 LLM Hallucination; RSK-011 Regulatory Breach</t>
  </si>
  <si>
    <t>Linked to KRIs Use Cases Vendors Roadmap</t>
  </si>
  <si>
    <t>CTL</t>
  </si>
  <si>
    <t>Control</t>
  </si>
  <si>
    <t>Controls mapped to ISO IEC 42001 clauses and Annex A with audit test focus and likely interview owner</t>
  </si>
  <si>
    <t>CTL-001 Intake Gateway; CTL-005 Drift Monitoring; CTL-014 Independent Bias Testing</t>
  </si>
  <si>
    <t>Linked across Use Cases Services Cloud Security IAM Evidence</t>
  </si>
  <si>
    <t>KPI</t>
  </si>
  <si>
    <t>Key Performance Indicator</t>
  </si>
  <si>
    <t>Backward-looking measure of operational performance vs target</t>
  </si>
  <si>
    <t>KPI-002 Material Models with Current Assurance; KPI-007 Vendor DD Currency</t>
  </si>
  <si>
    <t>Reported monthly to AIGF</t>
  </si>
  <si>
    <t>KRI</t>
  </si>
  <si>
    <t>Key Risk Indicator</t>
  </si>
  <si>
    <t>KRI-001 Models with Drift; KRI-007 GenAI DLP Exceptions</t>
  </si>
  <si>
    <t>Reported monthly with breach and escalation flag formulas</t>
  </si>
  <si>
    <t>VEN</t>
  </si>
  <si>
    <t>Third-party AI providers and adjacent technology vendors with due diligence and renewal posture</t>
  </si>
  <si>
    <t>VEN-001 Microsoft Azure OpenAI; VEN-002 Featurespace; VEN-007 Tractable</t>
  </si>
  <si>
    <t>Renewal flag formula and exit substitutability tracked</t>
  </si>
  <si>
    <t>INC</t>
  </si>
  <si>
    <t>Incident</t>
  </si>
  <si>
    <t>AI security and AI quality incidents and near-misses with closed PIR records</t>
  </si>
  <si>
    <t>INC-001 FNOL drift; INC-008 Hallucination; INC-007 PAM access</t>
  </si>
  <si>
    <t>Each linked to PIR and corrective action</t>
  </si>
  <si>
    <t>ACT</t>
  </si>
  <si>
    <t>Action / Remediation</t>
  </si>
  <si>
    <t>Corrective and remediation actions tracked through to effectiveness review</t>
  </si>
  <si>
    <t>CA-002 ABBYY DPIA; CA-005 Tractable security; CA-008 Vendor exit</t>
  </si>
  <si>
    <t>CA prefix used inside that sheet</t>
  </si>
  <si>
    <t>RDM</t>
  </si>
  <si>
    <t>Roadmap Item</t>
  </si>
  <si>
    <t>Programme workstream items with owner dates and percent complete</t>
  </si>
  <si>
    <t>RDM-001 Customer-Facing AI Uplift; RDM-007 ISO 42001 Readiness; RDM-010 SOC Modernisation</t>
  </si>
  <si>
    <t>Linked to risks controls and maturity gaps</t>
  </si>
  <si>
    <t>COM</t>
  </si>
  <si>
    <t>Committee Forum</t>
  </si>
  <si>
    <t>Governance forums with mandate cadence and reporting outputs</t>
  </si>
  <si>
    <t>COM-001 AI Governance Forum; COM-002 Model Risk; COM-006 Audit Committee</t>
  </si>
  <si>
    <t>Escalation routes documented in Governance Framework</t>
  </si>
  <si>
    <t>POL</t>
  </si>
  <si>
    <t>Policy Standard</t>
  </si>
  <si>
    <t>Policies standards procedures and guidelines that govern AI activity</t>
  </si>
  <si>
    <t>POL-001 AI Policy; POL-004 Model Risk Standard; POL-008 GenAI Use Standard</t>
  </si>
  <si>
    <t>Referenced in Compliance Mapping and Governance Framework</t>
  </si>
  <si>
    <t>EVD</t>
  </si>
  <si>
    <t>Evidence Item</t>
  </si>
  <si>
    <t>Audit-evidence library entries with stale due-soon and current flags</t>
  </si>
  <si>
    <t>EVD-001 UW Assurance; EVD-023 AIMS Scope; EVD-029 Training Records</t>
  </si>
  <si>
    <t>Linked to Controls Use Cases Services Vendors Policies</t>
  </si>
  <si>
    <t>AUT</t>
  </si>
  <si>
    <t>Automation</t>
  </si>
  <si>
    <t>Automated control or evidence workflows with fallback manual control</t>
  </si>
  <si>
    <t>AUT-001 Drift to SIEM; AUT-008 PAM session archive; AUT-010 Evidence collection scheduler</t>
  </si>
  <si>
    <t>Each linked to a control and a service</t>
  </si>
  <si>
    <t>RES</t>
  </si>
  <si>
    <t>Resource Role</t>
  </si>
  <si>
    <t>Roles with current and target FTE plus sourcing model</t>
  </si>
  <si>
    <t>RES-001 AI Security Manager; RES-002 Senior AI Risk Analyst; RES-009 Outsourced MLOps</t>
  </si>
  <si>
    <t>Underpins Talent Model in TOM and Strategy</t>
  </si>
  <si>
    <t>MAT</t>
  </si>
  <si>
    <t>Maturity Domain</t>
  </si>
  <si>
    <t>Capability maturity domains assessed on 1-5 scale with current vs target gap</t>
  </si>
  <si>
    <t>MAT-01 Governance; MAT-05 Monitoring; MAT-09 Evidence and Documentation</t>
  </si>
  <si>
    <t>Composite score formula on Dashboard</t>
  </si>
  <si>
    <t>SO</t>
  </si>
  <si>
    <t>Strategic objectives in TOM and Strategy linked to Strategic Pillars</t>
  </si>
  <si>
    <t>SO-01 ISO 42001 Embed; SO-04 Vendor Concentration; SO-07 Risk Quantification</t>
  </si>
  <si>
    <t>Each linked to a Strategic Pillar PIL-01..04</t>
  </si>
  <si>
    <t>DP</t>
  </si>
  <si>
    <t>Design Principle</t>
  </si>
  <si>
    <t>Design principles guiding the AIMS operating model</t>
  </si>
  <si>
    <t>DP-01 Risk-based; DP-04 Secure by Design; DP-08 Evidence-driven Assurance</t>
  </si>
  <si>
    <t>Foundational principles for design choices</t>
  </si>
  <si>
    <t>CAP</t>
  </si>
  <si>
    <t>Capability areas grouped into 4 layers</t>
  </si>
  <si>
    <t>CAP-01 AI Governance; CAP-05 Monitoring; CAP-09 Evidence</t>
  </si>
  <si>
    <t>Mapped to MAT domains and SVC services</t>
  </si>
  <si>
    <t>PIL</t>
  </si>
  <si>
    <t>Strategic Pillar</t>
  </si>
  <si>
    <t>Four strategic pillars introduced in TOM V3</t>
  </si>
  <si>
    <t>PIL-01 Governance; PIL-03 Model Integrity; PIL-04 Threat Detection</t>
  </si>
  <si>
    <t>Each pillar links to SOs and Capabilities</t>
  </si>
  <si>
    <t>KCI</t>
  </si>
  <si>
    <t>Key Control Indicator</t>
  </si>
  <si>
    <t>KCI-01 Material models passing fairness test; KCI-02 Output filter regression test pass rate</t>
  </si>
  <si>
    <t>KPI Tracking and Compliance Mapping</t>
  </si>
  <si>
    <t>Quarterly cadence reported to Model Risk Committee</t>
  </si>
  <si>
    <t>2. Live ID Register</t>
  </si>
  <si>
    <t>Full ID</t>
  </si>
  <si>
    <t>Entity Name</t>
  </si>
  <si>
    <t>Linked IDs / Linked Entities</t>
  </si>
  <si>
    <t>RSK-001, RSK-004; CTL-001, CTL-005, CTL-012; SVC-002; KPI-002; KRI-001</t>
  </si>
  <si>
    <t>Tier 1 customer-impacting</t>
  </si>
  <si>
    <t>RSK-002, RSK-007; CTL-002, CTL-005, CTL-008; SVC-003; INC-001, INC-005</t>
  </si>
  <si>
    <t>RSK-003, RSK-007, RSK-011; CTL-002, CTL-008, CTL-014; VEN-002; SVC-004</t>
  </si>
  <si>
    <t>RSK-005, RSK-008, RSK-012; VEN-001; CTL-003, CTL-006, CTL-010; INC-003, INC-008</t>
  </si>
  <si>
    <t>Tier 1 GenAI</t>
  </si>
  <si>
    <t>RSK-005, RSK-008, RSK-010; VEN-001; CTL-006, CTL-010, CTL-013; INC-004</t>
  </si>
  <si>
    <t>Tier 2 GenAI productivity</t>
  </si>
  <si>
    <t>RSK-002, RSK-006, RSK-009; VEN-007; CTL-002, CTL-004, CTL-008; INC-005</t>
  </si>
  <si>
    <t>All AUC; CTL-001, CTL-003; KPI-001</t>
  </si>
  <si>
    <t>Live</t>
  </si>
  <si>
    <t>AUC-001, AUC-010, AUC-015, AUC-018; CTL-005, CTL-012, CTL-014</t>
  </si>
  <si>
    <t>AIGF approved</t>
  </si>
  <si>
    <t>AUC-009; CTL-005, CTL-008, CTL-014; KPI-002, KPI-003, KPI-004</t>
  </si>
  <si>
    <t>Cross-model coverage</t>
  </si>
  <si>
    <t>All VEN; CTL-009, CTL-011, CTL-014; KPI-007</t>
  </si>
  <si>
    <t>Model performance drift causing pricing UW losses</t>
  </si>
  <si>
    <t>AUC-001, AUC-010, AUC-018; KRI-001, KRI-003; CTL-005; ACT-001</t>
  </si>
  <si>
    <t>Residual 8 - exposure 6.5m</t>
  </si>
  <si>
    <t>AUC-004, AUC-011, AUC-013, AUC-016, AUC-020; VEN-001; CTL-010; ACT-007</t>
  </si>
  <si>
    <t>Residual 8 - exposure 4.8m</t>
  </si>
  <si>
    <t>AUC-004, AUC-006, AUC-007, AUC-008, AUC-013; VEN-001, VEN-006; CTL-006, CTL-013</t>
  </si>
  <si>
    <t>Residual 8 - exposure 3.5m</t>
  </si>
  <si>
    <t>AUC-006, AUC-009, AUC-017, AUC-021; VEN-006, VEN-008, VEN-009</t>
  </si>
  <si>
    <t>Residual 10 - exposure 6.0m</t>
  </si>
  <si>
    <t>AUC-001, AUC-003, AUC-010, AUC-014; CTL-014; ACT-012</t>
  </si>
  <si>
    <t>Highest exposure 7.5m</t>
  </si>
  <si>
    <t>AI use case intake materiality and approval gateway</t>
  </si>
  <si>
    <t>AUC-001, AUC-010, AUC-015; SVC-001, SVC-002; EVD-001; POL-001</t>
  </si>
  <si>
    <t>Clause 6.1 8.1; A.6.2.2</t>
  </si>
  <si>
    <t>Production model monitoring drift performance bias</t>
  </si>
  <si>
    <t>AUC-001, AUC-002, AUC-009, AUC-010; SVC-010; EVD-009</t>
  </si>
  <si>
    <t>Clause 9.1; A.6.2.8 - Tier-2 coverage gap</t>
  </si>
  <si>
    <t>GenAI sensitivity labels DLP and corpus controls</t>
  </si>
  <si>
    <t>AUC-006, AUC-007, AUC-008, AUC-013; EVD-006; ACT-010</t>
  </si>
  <si>
    <t>Clause 7.4 8.1; A.7.4 - SharePoint label gap</t>
  </si>
  <si>
    <t>Human-in-the-Loop on customer-impacting decisions</t>
  </si>
  <si>
    <t>AUC-002, AUC-003, AUC-004, AUC-011; EVD-004; POL-002</t>
  </si>
  <si>
    <t>Clause 6.1.4; A.6.2.5</t>
  </si>
  <si>
    <t>Independent fairness and bias testing</t>
  </si>
  <si>
    <t>AUC-001, AUC-003, AUC-010, AUC-014; SVC-002; EVD-014</t>
  </si>
  <si>
    <t>Clause 9.2; A.6.2.7</t>
  </si>
  <si>
    <t>AUC-001, AUC-010, AUC-018; CTL-005; SVC-002</t>
  </si>
  <si>
    <t>96 vs 98 target</t>
  </si>
  <si>
    <t>All Tier-1 VEN; CTL-009; SVC-015</t>
  </si>
  <si>
    <t>94 vs 100 target</t>
  </si>
  <si>
    <t>RSK-001; AUC-001, AUC-009, AUC-010; CTL-005</t>
  </si>
  <si>
    <t>One under remediation</t>
  </si>
  <si>
    <t>DLP exceptions on GenAI tools per month</t>
  </si>
  <si>
    <t>RSK-008; AUC-004, AUC-006, AUC-013; CTL-006</t>
  </si>
  <si>
    <t>Targeted training to top-3 BUs</t>
  </si>
  <si>
    <t>Microsoft Azure OpenAI and M365 Copilot</t>
  </si>
  <si>
    <t>AUC-004, AUC-006, AUC-007, AUC-008, AUC-013; RSK-005, RSK-008</t>
  </si>
  <si>
    <t>Tier 1 - exit plan in flight RDM-005</t>
  </si>
  <si>
    <t>AUC-003; RSK-003</t>
  </si>
  <si>
    <t>Renewal Jun-26</t>
  </si>
  <si>
    <t>AUC-019; RSK-002, RSK-006; INC-005</t>
  </si>
  <si>
    <t>FNOL drift incident</t>
  </si>
  <si>
    <t>AUC-002; RSK-002; CTL-005; CA-001</t>
  </si>
  <si>
    <t>PIR-001 - Sev 2</t>
  </si>
  <si>
    <t>PAM access misconfiguration near-miss</t>
  </si>
  <si>
    <t>AUC-017; CTL-013; CA-007</t>
  </si>
  <si>
    <t>PIR-007 - Sev 2</t>
  </si>
  <si>
    <t>Hallucination filter regression</t>
  </si>
  <si>
    <t>AUC-013; RSK-005; CTL-010; CA-008</t>
  </si>
  <si>
    <t>PIR-008 - Sev 3</t>
  </si>
  <si>
    <t>RSK-005; CTL-010; AUC-004, AUC-013, AUC-020</t>
  </si>
  <si>
    <t>Phase 2 - 55 percent</t>
  </si>
  <si>
    <t>ISO IEC 42001 Readiness</t>
  </si>
  <si>
    <t>All controls; SO-01; PIL-01</t>
  </si>
  <si>
    <t>Phase 1 - 50 percent</t>
  </si>
  <si>
    <t>RSK-010; CTL-013; AUC-017, AUC-021</t>
  </si>
  <si>
    <t>Phase 2 - 60 percent</t>
  </si>
  <si>
    <t>All AUC; SO-01..07</t>
  </si>
  <si>
    <t>Active</t>
  </si>
  <si>
    <t>Monthly - Chair CDO</t>
  </si>
  <si>
    <t>AUC-001, AUC-002, AUC-014; CTL-005, CTL-014</t>
  </si>
  <si>
    <t>Monthly - Chair CRO</t>
  </si>
  <si>
    <t>Audit Committee Board</t>
  </si>
  <si>
    <t>ISO 42001 readiness; AUDIT-001..006</t>
  </si>
  <si>
    <t>Quarterly - NED Chair</t>
  </si>
  <si>
    <t>UW Decision Support model assurance pack</t>
  </si>
  <si>
    <t>AUC-001; CTL-005; SVC-002</t>
  </si>
  <si>
    <t>Refresh due 12-06-2026</t>
  </si>
  <si>
    <t>AIMS scope and boundaries statement</t>
  </si>
  <si>
    <t>All controls; ISO 42001 Clause 4.3</t>
  </si>
  <si>
    <t>Annual review</t>
  </si>
  <si>
    <t>Competence and training records</t>
  </si>
  <si>
    <t>CTL-016; ISO 42001 Clause 7.2</t>
  </si>
  <si>
    <t>86 vs 95 target</t>
  </si>
  <si>
    <t>PIL-01; CAP-01; SO-01</t>
  </si>
  <si>
    <t>Current 4 / Target 5</t>
  </si>
  <si>
    <t>PIL-03; CAP-05; SVC-010</t>
  </si>
  <si>
    <t>Current 3 / Target 4</t>
  </si>
  <si>
    <t>RDM-007 lifts to Managed</t>
  </si>
  <si>
    <t>PIL-01; CAP-09; CTL-014</t>
  </si>
  <si>
    <t>ISO 42001 readiness key</t>
  </si>
  <si>
    <t>Board Dashboard - AI Security and Governance Posture</t>
  </si>
  <si>
    <t>Board-level summary of AI governance, risk, compliance, service delivery and strategic posture. Owner: AI Security Manager. Reporting period: Q1 2026 (as at 02/05/2026).</t>
  </si>
  <si>
    <t>Navigation:  Board Pack Notes  |  Operational Dashboard  |  Executive Report  |  TOM Index  |  ID Glossary</t>
  </si>
  <si>
    <t>Total Residual Exposure (GBP M)</t>
  </si>
  <si>
    <t>High/Critical Residual Risks</t>
  </si>
  <si>
    <t>Composite of 9 domains vs target</t>
  </si>
  <si>
    <t>Sum of quantified residual exposure (13 risks)</t>
  </si>
  <si>
    <t>Risks with residual score &gt;=15 (max 25)</t>
  </si>
  <si>
    <t>KRI Breaches (Red + Amber)</t>
  </si>
  <si>
    <t>Open High-Severity Incidents</t>
  </si>
  <si>
    <t>Overdue Roadmap Items</t>
  </si>
  <si>
    <t>Tier-1 Vendor DD Currency</t>
  </si>
  <si>
    <t>KRIs above amber or red threshold</t>
  </si>
  <si>
    <t>Sev 1/2 incidents open or under review (90d)</t>
  </si>
  <si>
    <t>Roadmap items with Delayed status</t>
  </si>
  <si>
    <t>High-criticality vendors with DD complete</t>
  </si>
  <si>
    <t>2. Top 5 Material Risks (by Quantified Residual Exposure)</t>
  </si>
  <si>
    <t>Exposure (GBP M)</t>
  </si>
  <si>
    <t>Treatment Action</t>
  </si>
  <si>
    <t>3. Maturity by Domain (Current vs Target)</t>
  </si>
  <si>
    <t>Level</t>
  </si>
  <si>
    <t>Average / Total</t>
  </si>
  <si>
    <t>4. Key Risk Indicators (KRI) Summary</t>
  </si>
  <si>
    <t>5. Incident Summary (Rolling 90 Days)</t>
  </si>
  <si>
    <t>Sev 1/2 Incidents</t>
  </si>
  <si>
    <t>Currently Open</t>
  </si>
  <si>
    <t>Vendor-Driven</t>
  </si>
  <si>
    <t>All incidents in 90-day window</t>
  </si>
  <si>
    <t>High-severity incidents</t>
  </si>
  <si>
    <t>Open or under review</t>
  </si>
  <si>
    <t>Incidents caused by vendor</t>
  </si>
  <si>
    <t>6. Third-Party AI Risk Hotspots (Amber/Red Vendors)</t>
  </si>
  <si>
    <t>7. Key Decisions Required This Quarter</t>
  </si>
  <si>
    <t>8. Implementation Roadmap Summary</t>
  </si>
  <si>
    <t>Workstream / Milestone</t>
  </si>
  <si>
    <t>9. Budget and People Summary (FY 2026/27)</t>
  </si>
  <si>
    <t>Total Budget (GBP k)</t>
  </si>
  <si>
    <t>Run Cost (GBP k)</t>
  </si>
  <si>
    <t>Change Cost (GBP k)</t>
  </si>
  <si>
    <t>Contingency (GBP k)</t>
  </si>
  <si>
    <t>5% of Run + Change</t>
  </si>
  <si>
    <t>FTE Gap</t>
  </si>
  <si>
    <t>Internal / External</t>
  </si>
  <si>
    <t>Headcount in post</t>
  </si>
  <si>
    <t>Approved workforce plan</t>
  </si>
  <si>
    <t>Vacancies to fill</t>
  </si>
  <si>
    <t>Internal FTE / External roles</t>
  </si>
  <si>
    <t>10. Strategic Posture and Major Changes Since Last Review</t>
  </si>
  <si>
    <t>The AI estate continues to expand within Risk Appetite. Internal models (underwriting, claims triage, fraud, pricing) remain robust with strong assurance and monitoring coverage at 92% for Tier-1 models. Customer-facing AI (voice agent assist, vulnerable customer detection, smart search) has matured with output guardrails, sample QA, complaint linkage, and refreshed hallucination filter post INC-008. Generative AI productivity tooling is embedded with Microsoft Purview controls; legacy SharePoint label inheritance is the residual gap (CA-004). The Splunk to Sentinel migration (RDM-010) is 60% complete and on track to retire dual-running cost in Q4 2026.</t>
  </si>
  <si>
    <t>Major Changes Since Last Review:</t>
  </si>
  <si>
    <t>INC-008 (Hallucination)</t>
  </si>
  <si>
    <t>Hallucinated reference in policy-wording smart search. Filter regression after vendor model update. Filter re-tuned; vendor change-window controls strengthened. No customer impact.</t>
  </si>
  <si>
    <t>KRI-007 (DLP Exceptions)</t>
  </si>
  <si>
    <t>GenAI DLP exceptions at 14/month vs amber threshold of 10. Targeted training to top-3 BUs underway; Purview labels reviewed.</t>
  </si>
  <si>
    <t>KRI-009 (Training)</t>
  </si>
  <si>
    <t>Training completion at 86% vs 95% target. Mandatory AI awareness module deployed; deadline extended to catch stragglers.</t>
  </si>
  <si>
    <t>Overall readiness at 76.3%. Four areas with major NC risk identified (CA-009, CA-010, CA-011, CA-014). Closure plan requires board approval.</t>
  </si>
  <si>
    <t>Vendor Posture</t>
  </si>
  <si>
    <t>Six vendors at Amber residual. VEN-007 (Tractable) security review in progress; VEN-012 (Hugging Face) initial DD underway; VEN-015 (Splunk) migration to Sentinel on track.</t>
  </si>
  <si>
    <t>Resource Gap</t>
  </si>
  <si>
    <t>5 FTE gap (16 current vs 21 target). Two vacancies in active recruitment (AI Risk Analyst, AI Security Engineer). Net hire approval sought at ExCo.</t>
  </si>
  <si>
    <t>Roadmap Progress</t>
  </si>
  <si>
    <t>Average completion at 37.5%. Two Phase 3 items not yet started (Operating Model, Resilience Modelling). All Phase 1/2 items in progress or on track.</t>
  </si>
  <si>
    <t>11. Audit Committee Focus Items</t>
  </si>
  <si>
    <t>ISO 42001 Certification Path</t>
  </si>
  <si>
    <t>Internal readiness review (AUDIT-006) scheduled September 2026. Four major-NC-risk areas require closure before external assessment. Board approval of closure plan sought (DEC-Q1-01). Certification not guaranteed -- depends on assessor judgement.</t>
  </si>
  <si>
    <t>Evidence Library Currency</t>
  </si>
  <si>
    <t>Evidence register maintained with next-review dates. Stale evidence items flagged monthly. Current currency rate feeds into headline posture tile above.</t>
  </si>
  <si>
    <t>Corrective Action Discipline</t>
  </si>
  <si>
    <t>All open corrective actions tracked with target close dates. Overdue items escalated through AI Governance Forum. Management Review (MR-2026-Q2) scheduled for effectiveness review of all closed PIRs.</t>
  </si>
  <si>
    <t>Third-Party Assurance Gaps</t>
  </si>
  <si>
    <t>Six vendors at Amber residual. Two material Tier-1 vendors (VEN-001 Microsoft, VEN-006 Sentinel) require documented exit plans (DEC-Q1-02). Hugging Face (VEN-012) DD in progress.</t>
  </si>
  <si>
    <t>Control Coverage Depth</t>
  </si>
  <si>
    <t>16 controls in scope; 12 fully implemented, 4 partial. Tier-1 use case control coverage tracked: 4/11 with production monitoring (CTL-005), 7/11 with HITL gate (CTL-008), 4/11 with independent bias test (CTL-014).</t>
  </si>
  <si>
    <t>12. KPI Performance Summary</t>
  </si>
  <si>
    <t>KPIs On Track</t>
  </si>
  <si>
    <t>KPIs At Risk</t>
  </si>
  <si>
    <t>KPIs Off Track</t>
  </si>
  <si>
    <t>Meeting or exceeding target</t>
  </si>
  <si>
    <t>Within tolerance but below target</t>
  </si>
  <si>
    <t>Below acceptable threshold</t>
  </si>
  <si>
    <t>KPIs tracked across function</t>
  </si>
  <si>
    <t>End of Board Dashboard  |  For detailed operational data see: Dashboard, Executive Report, Board Pack Notes  |  Owner: AI Security Manager  |  Classification: Board Confidential</t>
  </si>
  <si>
    <t>RAG Key:  GREEN = Within appetite / on target  |  AMBER = Monitor / approaching threshold  |  RED = Breach / requires action  |  Thresholds defined in Board Pack Notes Section 2</t>
  </si>
  <si>
    <t>Controls implemented / total (16 controls in scope)</t>
  </si>
  <si>
    <t>ISO 42001 Control Implementation</t>
  </si>
  <si>
    <t>Board KPI-KRI Tracker - Leading Indicators for AI Security and Governance</t>
  </si>
  <si>
    <t>Forward-looking (leading) indicators that predict emerging risk before it materialises. These complement lagging indicators (incidents, losses) by providing early warning for board-level oversight. Owner: AI Security Manager. As at 02/05/2026.</t>
  </si>
  <si>
    <t>Navigation:  Board Dashboard  |  KRI Tracking  |  KPI Tracking  |  Risk Quantification  |  Maturity Assessment  |  Board Pack Notes</t>
  </si>
  <si>
    <t>LEADING vs LAGGING: Leading indicators measure conditions that precede risk events (e.g., control coverage gaps, training shortfalls, overdue reviews, configuration drift). They enable proactive intervention BEFORE harm occurs. Lagging indicators (e.g., incident count, customer complaints, financial losses) confirm risk has already crystallised. This tracker focuses on LEADING indicators to give the Board predictive visibility into the AI risk posture.</t>
  </si>
  <si>
    <t>Section 1: Leading Key Risk Indicators (KRIs) - Early Warning Signals</t>
  </si>
  <si>
    <t>ID</t>
  </si>
  <si>
    <t>Leading Indicator</t>
  </si>
  <si>
    <t>Linked Risk</t>
  </si>
  <si>
    <t>Predictive Signal</t>
  </si>
  <si>
    <t>Lead Time</t>
  </si>
  <si>
    <t>Escalation</t>
  </si>
  <si>
    <t>Board Action if Breached</t>
  </si>
  <si>
    <t>Drift precedes model failure; early signal of pricing/claims errors before customer impact</t>
  </si>
  <si>
    <t>2-4 weeks before incident</t>
  </si>
  <si>
    <t>Escalate to Model Risk Committee; invoke champion-challenger fallback</t>
  </si>
  <si>
    <t>Unmonitored models cannot detect degradation; gap precedes undetected failure</t>
  </si>
  <si>
    <t>4-8 weeks before undetected drift</t>
  </si>
  <si>
    <t>Mandate monitoring reinstatement within 5 working days</t>
  </si>
  <si>
    <t>Outstanding fairness breaches signal future regulatory/Consumer Duty exposure</t>
  </si>
  <si>
    <t>3-6 months before regulatory action</t>
  </si>
  <si>
    <t>Suspend affected models; inform compliance and FCA engagement team</t>
  </si>
  <si>
    <t>Rising complaints trend predicts regulatory scrutiny and reputational damage</t>
  </si>
  <si>
    <t>1-3 months before regulatory enquiry</t>
  </si>
  <si>
    <t>Trigger Consumer Duty review; brief Risk Committee</t>
  </si>
  <si>
    <t>Routing failures signal control weakness; predicts harm to vulnerable customers</t>
  </si>
  <si>
    <t>Immediate - each case is a near-miss</t>
  </si>
  <si>
    <t>Invoke immediate remediation; report to Consumer Duty forum</t>
  </si>
  <si>
    <t>Any false-negative signals model degradation; predicts undetected financial crime</t>
  </si>
  <si>
    <t>1-2 weeks before leakage crystallises</t>
  </si>
  <si>
    <t>Invoke SIU review; brief Fraud Committee and consider model suspension</t>
  </si>
  <si>
    <t>Rising DLP exceptions predict eventual data leakage before exfiltration occurs</t>
  </si>
  <si>
    <t>2-6 weeks before potential breach</t>
  </si>
  <si>
    <t>Restrict GenAI access for repeat offenders; brief CISO</t>
  </si>
  <si>
    <t>Rising reject rates predict downstream claim errors before customer impact</t>
  </si>
  <si>
    <t>1-2 weeks before payment errors</t>
  </si>
  <si>
    <t>Invoke vendor escalation; increase manual QA sampling</t>
  </si>
  <si>
    <t>Configuration drift signals exposure window; predicts cloud compromise before attack</t>
  </si>
  <si>
    <t>Days to weeks before exploitation</t>
  </si>
  <si>
    <t>Emergency patching window; brief Technology Risk Committee</t>
  </si>
  <si>
    <t>Section 2: Leading Key Performance Indicators (KPIs) - Predictive Effectiveness Measures</t>
  </si>
  <si>
    <t>Actual</t>
  </si>
  <si>
    <t>Why Leading</t>
  </si>
  <si>
    <t>Board Action if Off Track</t>
  </si>
  <si>
    <t>Process speed predicts bottlenecks; delays signal governance overload before use cases stall</t>
  </si>
  <si>
    <t>2-4 weeks before pipeline blockage</t>
  </si>
  <si>
    <t>Measures control process efficiency BEFORE it delays business value</t>
  </si>
  <si>
    <t>Review intake capacity; approve additional resource</t>
  </si>
  <si>
    <t>Assurance gaps predict undetected model failure; declining coverage precedes incidents</t>
  </si>
  <si>
    <t>4-8 weeks before undetected drift leads to loss</t>
  </si>
  <si>
    <t>Measures control coverage BEFORE failure occurs; gap = blind spot</t>
  </si>
  <si>
    <t>Mandate immediate re-validation; restrict model use until assured</t>
  </si>
  <si>
    <t>Uptime trend predicts service reliability; degradation signals infrastructure stress before outage</t>
  </si>
  <si>
    <t>1-2 weeks before prolonged outage</t>
  </si>
  <si>
    <t>Early degradation patterns (short dips) precede major failures</t>
  </si>
  <si>
    <t>Invoke resilience review; approve redundancy investment</t>
  </si>
  <si>
    <t>Narrowing FPR band signals model calibration drift before fraud leakage occurs</t>
  </si>
  <si>
    <t>2-4 weeks before false-negatives increase</t>
  </si>
  <si>
    <t>Threshold drift is visible before fraud leakage crystallises</t>
  </si>
  <si>
    <t>Invoke model recalibration; brief Fraud Committee</t>
  </si>
  <si>
    <t>Declining QA pass rate predicts customer harm before complaints materialise</t>
  </si>
  <si>
    <t>4-8 weeks before complaints spike</t>
  </si>
  <si>
    <t>Quality failures occur before customers notice and complain</t>
  </si>
  <si>
    <t>Restrict affected AI feature; invoke output filter review</t>
  </si>
  <si>
    <t>Rising triage time predicts SOC overload before alerts are missed</t>
  </si>
  <si>
    <t>1-3 weeks before missed critical alert</t>
  </si>
  <si>
    <t>Response time degradation precedes missed detections</t>
  </si>
  <si>
    <t>Approve SOC staffing increase; review alert prioritisation rules</t>
  </si>
  <si>
    <t>DD expiry signals assurance gap before vendor risk materialises</t>
  </si>
  <si>
    <t>2-3 months before unassured vendor risk event</t>
  </si>
  <si>
    <t>Expired DD means blind spots on vendor changes that could harm us</t>
  </si>
  <si>
    <t>Suspend new workloads to vendor; escalate renewal</t>
  </si>
  <si>
    <t>Rising reject rate signals extraction model degradation before claim errors</t>
  </si>
  <si>
    <t>1-2 weeks before incorrect payments</t>
  </si>
  <si>
    <t>Extraction failures precede downstream financial errors</t>
  </si>
  <si>
    <t>Invoke vendor review; increase manual sampling rate</t>
  </si>
  <si>
    <t>SLA degradation predicts claims handling failures before customer detriment</t>
  </si>
  <si>
    <t>1-2 weeks before customer harm</t>
  </si>
  <si>
    <t>Triage delays cause downstream SLA cascades</t>
  </si>
  <si>
    <t>Review capacity plan; invoke claims ops escalation</t>
  </si>
  <si>
    <t>Complaint trend predicts regulatory attention before FCA engagement</t>
  </si>
  <si>
    <t>2-6 months before regulatory enquiry</t>
  </si>
  <si>
    <t>Rising trend visible months before regulator acts</t>
  </si>
  <si>
    <t>Brief Consumer Duty forum; prepare FCA response pack</t>
  </si>
  <si>
    <t>Adoption plateau signals shadow AI risk; low adoption predicts ungoverned tool use</t>
  </si>
  <si>
    <t>1-3 months before shadow AI incidents</t>
  </si>
  <si>
    <t>Low adoption drives users to ungoverned alternatives</t>
  </si>
  <si>
    <t>Review UX barriers; extend training; communicate policy</t>
  </si>
  <si>
    <t>Section 3: Leading Indicator Summary - Board Attention Required</t>
  </si>
  <si>
    <t>KRI Breaches (Amber + Red)</t>
  </si>
  <si>
    <t>KRIs Deteriorating</t>
  </si>
  <si>
    <t>KPIs At Risk or Off Track</t>
  </si>
  <si>
    <t>Total Leading Indicators</t>
  </si>
  <si>
    <t>Overall Predictive Posture</t>
  </si>
  <si>
    <t>Early warning breaches</t>
  </si>
  <si>
    <t>Worsening trend direction</t>
  </si>
  <si>
    <t>Effectiveness gaps</t>
  </si>
  <si>
    <t>KRIs (9) + KPIs (11)</t>
  </si>
  <si>
    <t>Composite board-level assessment</t>
  </si>
  <si>
    <t>Section 4: Board Attention Items - Leading Indicators Signalling Emerging Risk</t>
  </si>
  <si>
    <t>Current State</t>
  </si>
  <si>
    <t>Predictive Concern</t>
  </si>
  <si>
    <t>Board Action</t>
  </si>
  <si>
    <t>Timeline</t>
  </si>
  <si>
    <t>DLP exceptions (KRI-007)</t>
  </si>
  <si>
    <t>14/mth vs Amber 10; Deteriorating</t>
  </si>
  <si>
    <t>Predicts data leakage within 2-6 weeks. 3 BUs driving 80%. Pre-breach pattern.</t>
  </si>
  <si>
    <t>Restrict repeat-offender BU access; mandate training by 30/06/2026</t>
  </si>
  <si>
    <t>Immediate</t>
  </si>
  <si>
    <t>K Holloway</t>
  </si>
  <si>
    <t>Cloud config drift (KRI-009)</t>
  </si>
  <si>
    <t>2 findings vs Amber 2; Stable</t>
  </si>
  <si>
    <t>Exposed API endpoints. Exploitation lead time is days once threat actor discovers.</t>
  </si>
  <si>
    <t>Mandate 48-hour emergency remediation; approve out-of-cycle patch</t>
  </si>
  <si>
    <t>48 hours</t>
  </si>
  <si>
    <t>Vendor DD currency (KPI-007)</t>
  </si>
  <si>
    <t>94% vs 100%; Off Track</t>
  </si>
  <si>
    <t>Tier-1 vendor in renewal with expired DD. Unassured platform changes introduce blind risk.</t>
  </si>
  <si>
    <t>Expedite renewal; restrict new workloads until DD refreshed</t>
  </si>
  <si>
    <t>30 days</t>
  </si>
  <si>
    <t>S Mitchell</t>
  </si>
  <si>
    <t>QA pass rate (KPI-005)</t>
  </si>
  <si>
    <t>93% vs 95%; At Risk</t>
  </si>
  <si>
    <t>Declining QA predicts complaints spike in 4-8 weeks. Filter retune needed post INC-008.</t>
  </si>
  <si>
    <t>Approve filter retune; increase QA sample to 10%</t>
  </si>
  <si>
    <t>4 weeks</t>
  </si>
  <si>
    <t>O Bennett</t>
  </si>
  <si>
    <t>Training completion gap</t>
  </si>
  <si>
    <t>86% vs 95% target</t>
  </si>
  <si>
    <t>Low completion correlates with DLP exceptions. Untrained staff 3x more likely to trigger.</t>
  </si>
  <si>
    <t>Mandate completion; withhold GenAI access for non-completers</t>
  </si>
  <si>
    <t>D O'Reilly</t>
  </si>
  <si>
    <t>Section 5: RAG Threshold Definitions and Escalation Framework</t>
  </si>
  <si>
    <t>Indicator Type</t>
  </si>
  <si>
    <t>Board Reporting Trigger</t>
  </si>
  <si>
    <t>KRI Breaches</t>
  </si>
  <si>
    <t>Zero breaches</t>
  </si>
  <si>
    <t>1-2 breaches</t>
  </si>
  <si>
    <t>&gt;2 breaches or any Red</t>
  </si>
  <si>
    <t>Owner action; AIGF review at next meeting</t>
  </si>
  <si>
    <t>Any Red KRI triggers immediate board notification</t>
  </si>
  <si>
    <t>Monthly via AIGF; Quarterly to Board</t>
  </si>
  <si>
    <t>KRI Trend</t>
  </si>
  <si>
    <t>Improving or Stable</t>
  </si>
  <si>
    <t>Stable at Amber boundary</t>
  </si>
  <si>
    <t>AIGF escalation; Risk Committee if sustained</t>
  </si>
  <si>
    <t>Two consecutive Deteriorating months triggers board paper</t>
  </si>
  <si>
    <t>Monthly trend analysis</t>
  </si>
  <si>
    <t>KPI Status</t>
  </si>
  <si>
    <t>At Risk (within tolerance)</t>
  </si>
  <si>
    <t>Off Track (below tolerance)</t>
  </si>
  <si>
    <t>Service owner remediation plan within 10 days</t>
  </si>
  <si>
    <t>Any Off Track for 2+ months triggers board attention</t>
  </si>
  <si>
    <t>Monthly; Quarterly board summary</t>
  </si>
  <si>
    <t>Residual Risk Score</t>
  </si>
  <si>
    <t>&lt;10 (Low-Medium)</t>
  </si>
  <si>
    <t>10-14 (High)</t>
  </si>
  <si>
    <t>&gt;=15 (Critical)</t>
  </si>
  <si>
    <t>Risk Committee; ExCo if score 20+</t>
  </si>
  <si>
    <t>Any risk scoring &gt;=15 residual reported to board immediately</t>
  </si>
  <si>
    <t>Monthly re-scoring</t>
  </si>
  <si>
    <t>Amber - assurance item pending</t>
  </si>
  <si>
    <t>Third-Party Oversight Forum; Risk Committee</t>
  </si>
  <si>
    <t>Any Tier-1 vendor at Red reported to board</t>
  </si>
  <si>
    <t>Monthly; Quarterly board pack</t>
  </si>
  <si>
    <t>Maturity Gap</t>
  </si>
  <si>
    <t>Gap = 0 (at target)</t>
  </si>
  <si>
    <t>Gap = 1 (one level below)</t>
  </si>
  <si>
    <t>Gap &gt;= 2 (two+ levels below)</t>
  </si>
  <si>
    <t>Domain owner action plan; AIGF oversight</t>
  </si>
  <si>
    <t>Any domain at gap &gt;=2 triggers board discussion</t>
  </si>
  <si>
    <t>Half-yearly assessment</t>
  </si>
  <si>
    <t>End of Board KPI-KRI Tracker  |  All indicators are LEADING (predictive)  |  Source: KRI Tracking, KPI Tracking, Risk Quantification  |  Owner: AI Security Manager  |  Classification: Board Confidential</t>
  </si>
  <si>
    <t>RAG Key:  GREEN = Within appetite  |  AMBER = Monitor / approaching threshold  |  RED = Breach / requires immediate action  |  LEADING = Predicts future risk before crystallisation  |  LAGGING = Confirms risk already materialised</t>
  </si>
  <si>
    <t>Tracks AIMS internal audits (Clause 9.2), management reviews (Clause 9.3), corrective actions and effectiveness reviews (Clause 10.1, 10.2) and continual improvement. Owner: AI Security Manager and Internal Audit. Cadence: Quarterly review.</t>
  </si>
  <si>
    <t>Back to Dashboard  |  Open ID Glossary  |  Board Dashboard  |  Executive Report  |  Compliance Mapping</t>
  </si>
  <si>
    <t>Section 1: Internal Audit Programme (ISO 42001 Clause 9.2)</t>
  </si>
  <si>
    <t>Audit ID</t>
  </si>
  <si>
    <t>Audit Title / Scope</t>
  </si>
  <si>
    <t>Clause</t>
  </si>
  <si>
    <t>Lead Auditor</t>
  </si>
  <si>
    <t>Findings</t>
  </si>
  <si>
    <t>Major NCs</t>
  </si>
  <si>
    <t>Minor NCs</t>
  </si>
  <si>
    <t>Observations</t>
  </si>
  <si>
    <t>Key Finding Summary</t>
  </si>
  <si>
    <t>Linked CA</t>
  </si>
  <si>
    <t>AUDIT-001</t>
  </si>
  <si>
    <t>AIMS Governance and Policy Framework</t>
  </si>
  <si>
    <t>4.1-5.3, 6.1</t>
  </si>
  <si>
    <t>Liam Carmichael (CAE)</t>
  </si>
  <si>
    <t>AIMS scope and policy approved; management review input checklist incomplete (Major NC); two minor gaps in documented roles.</t>
  </si>
  <si>
    <t>AUDIT-002</t>
  </si>
  <si>
    <t>Customer-Facing AI Assurance</t>
  </si>
  <si>
    <t>6.1.4, 8.1, 9.1</t>
  </si>
  <si>
    <t>28/02/2026</t>
  </si>
  <si>
    <t>Impact assessments require refresh for customer-facing use cases after vendor sub-processor changes (Major NC). QA sampling adequate.</t>
  </si>
  <si>
    <t>AUDIT-003</t>
  </si>
  <si>
    <t>Third-Party AI Oversight</t>
  </si>
  <si>
    <t>8.1, A.7.5</t>
  </si>
  <si>
    <t>20/03/2026</t>
  </si>
  <si>
    <t>Tier-1 vendor exit plans incomplete for VEN-001 and VEN-006 (Major NC). DD currency at 94% vs 100% target.</t>
  </si>
  <si>
    <t>AUDIT-004</t>
  </si>
  <si>
    <t>Cloud and IAM Security Controls</t>
  </si>
  <si>
    <t>8.1, A.6.2.4</t>
  </si>
  <si>
    <t>External (KPMG)</t>
  </si>
  <si>
    <t>Cloud CSPM controls effective; one minor finding on PAM bundle configuration (remediated). IAM controls satisfactory.</t>
  </si>
  <si>
    <t>CA-007</t>
  </si>
  <si>
    <t>AUDIT-005</t>
  </si>
  <si>
    <t>AI Model Lifecycle and MRM</t>
  </si>
  <si>
    <t>9.1, 9.2, A.6.2.6</t>
  </si>
  <si>
    <t>Scope: independent challenge of material models, validation backlog, model retirement process.</t>
  </si>
  <si>
    <t>AUDIT-006</t>
  </si>
  <si>
    <t>ISO 42001 Internal Readiness Review</t>
  </si>
  <si>
    <t>All clauses + Annex A</t>
  </si>
  <si>
    <t>Full internal readiness assessment against 38 ISO 42001 clauses/Annex A items ahead of certification.</t>
  </si>
  <si>
    <t>Section 2: Management Reviews of the AIMS (ISO 42001 Clause 9.3)</t>
  </si>
  <si>
    <t>Review ID</t>
  </si>
  <si>
    <t>Review Title</t>
  </si>
  <si>
    <t>Inputs Covered</t>
  </si>
  <si>
    <t>Key Decisions</t>
  </si>
  <si>
    <t>Actions Raised</t>
  </si>
  <si>
    <t>Effectiveness Confirmed</t>
  </si>
  <si>
    <t>Minutes Ref</t>
  </si>
  <si>
    <t>MR-2025-Q3</t>
  </si>
  <si>
    <t>AIMS Quarterly Management Review Q3 2025</t>
  </si>
  <si>
    <t>15/10/2025</t>
  </si>
  <si>
    <t>Andrew Pollard (CDO)</t>
  </si>
  <si>
    <t>Risk status, KPI/KRI, incidents, audit findings, resource, opportunities</t>
  </si>
  <si>
    <t>Approved AIMS scope; approved AI policy v1; noted resource gap</t>
  </si>
  <si>
    <t>3 (CA-001, CA-002, CA-003)</t>
  </si>
  <si>
    <t>Yes - reviewed at MR-2025-Q4</t>
  </si>
  <si>
    <t>EVD-027-MR-Q3</t>
  </si>
  <si>
    <t>MR-2025-Q4</t>
  </si>
  <si>
    <t>AIMS Quarterly Management Review Q4 2025</t>
  </si>
  <si>
    <t>Risk status, KPI/KRI, incidents, corrective actions, roadmap, vendor posture</t>
  </si>
  <si>
    <t>Approved ISO 42001 readiness programme; approved hiring plan; confirmed CA-001 effective</t>
  </si>
  <si>
    <t>4 (CA-004, CA-005, CA-006, CA-007)</t>
  </si>
  <si>
    <t>Yes - reviewed at MR-2026-Q1</t>
  </si>
  <si>
    <t>EVD-027-MR-Q4</t>
  </si>
  <si>
    <t>15/04/2026</t>
  </si>
  <si>
    <t>MR-2026-Q1</t>
  </si>
  <si>
    <t>AIMS Quarterly Management Review Q1 2026</t>
  </si>
  <si>
    <t>All 9.3 inputs: changes, performance, audits, NCs, KPIs, risks, opportunities, resources, continual improvement</t>
  </si>
  <si>
    <t>Approved closure plan for major NCs; noted vendor exit plan progress; approved training campaign escalation</t>
  </si>
  <si>
    <t>5 (CA-009, CA-010, CA-011, CA-012, CA-014)</t>
  </si>
  <si>
    <t>Partial - PIR effectiveness pending</t>
  </si>
  <si>
    <t>EVD-027-MR-Q1-26</t>
  </si>
  <si>
    <t>15/07/2026</t>
  </si>
  <si>
    <t>MR-2026-Q2</t>
  </si>
  <si>
    <t>AIMS Quarterly Management Review Q2 2026</t>
  </si>
  <si>
    <t>Scheduled</t>
  </si>
  <si>
    <t>All 9.3 inputs; effectiveness review of all closed PIRs; CA-009 to CA-014 progress review</t>
  </si>
  <si>
    <t>15/10/2026</t>
  </si>
  <si>
    <t>Section 3: Corrective Actions Register (ISO 42001 Clause 10.1, 10.2)</t>
  </si>
  <si>
    <t>CA ID</t>
  </si>
  <si>
    <t>Corrective Action</t>
  </si>
  <si>
    <t>Effectiveness Review</t>
  </si>
  <si>
    <t>Linked Audit/Incident</t>
  </si>
  <si>
    <t>INC-001 / PIR-001</t>
  </si>
  <si>
    <t>Seasonal claim composition not in training data</t>
  </si>
  <si>
    <t>Confirmed effective at MR-2025-Q4</t>
  </si>
  <si>
    <t>AUDIT-001, INC-001</t>
  </si>
  <si>
    <t>CA-002</t>
  </si>
  <si>
    <t>Complete ABBYY privacy review after sub-processor change</t>
  </si>
  <si>
    <t>AUDIT-003 / Vendor review</t>
  </si>
  <si>
    <t>Vendor sub-processor change triggered review</t>
  </si>
  <si>
    <t>Due at MR-2026-Q2</t>
  </si>
  <si>
    <t>CA-003</t>
  </si>
  <si>
    <t>Strengthen pre-issue guardrail for outlier features (pricing)</t>
  </si>
  <si>
    <t>INC-002 / PIR-002</t>
  </si>
  <si>
    <t>Outlier feature interaction not handled</t>
  </si>
  <si>
    <t>INC-004 / PIR-004</t>
  </si>
  <si>
    <t>SharePoint label inheritance gap</t>
  </si>
  <si>
    <t>Vendor SLA exceptions; resilience plan updated for tabletop</t>
  </si>
  <si>
    <t>INC-005 / PIR-005</t>
  </si>
  <si>
    <t>Vendor outage exposed DR gap</t>
  </si>
  <si>
    <t>Due at MR-2026-Q3</t>
  </si>
  <si>
    <t>CA-006</t>
  </si>
  <si>
    <t>Confirm template update SLAs with ABBYY vendor</t>
  </si>
  <si>
    <t>INC-006 / PIR-006</t>
  </si>
  <si>
    <t>New template not in training corpus</t>
  </si>
  <si>
    <t>Confirmed effective at MR-2026-Q1</t>
  </si>
  <si>
    <t>PAM bundles re-baselined; quarterly review added</t>
  </si>
  <si>
    <t>INC-007 / PIR-007</t>
  </si>
  <si>
    <t>Misconfigured PAM bundle</t>
  </si>
  <si>
    <t>AUDIT-004, INC-007</t>
  </si>
  <si>
    <t>INC-008 / PIR-008</t>
  </si>
  <si>
    <t>Filter regression after vendor model update</t>
  </si>
  <si>
    <t>AUDIT-001 (Major NC)</t>
  </si>
  <si>
    <t>MR input checklist incomplete vs Clause 9.3 requirements</t>
  </si>
  <si>
    <t>Clause 9.3</t>
  </si>
  <si>
    <t>AUDIT-002 (Major NC)</t>
  </si>
  <si>
    <t>Impact assessments not refreshed after vendor sub-processor changes</t>
  </si>
  <si>
    <t>CTL-003, A.6.2.5</t>
  </si>
  <si>
    <t>AUDIT-003 (Major NC)</t>
  </si>
  <si>
    <t>Exit plans incomplete for material vendors</t>
  </si>
  <si>
    <t>CTL-011, A.7.5</t>
  </si>
  <si>
    <t>Accelerate Tier-1 vendor DD currency to 100%</t>
  </si>
  <si>
    <t>One Tier-1 vendor in renewal; DD expired</t>
  </si>
  <si>
    <t>KRI-007 breach</t>
  </si>
  <si>
    <t>Three BUs driving 80% of GenAI DLP exceptions</t>
  </si>
  <si>
    <t>Lift training completion to 95% (AI awareness module)</t>
  </si>
  <si>
    <t>AUDIT-001 / MR-2026-Q1</t>
  </si>
  <si>
    <t>Training at 86% vs 95% target; Clauses 7.2-7.3 gap</t>
  </si>
  <si>
    <t>CTL-016, A.7.6</t>
  </si>
  <si>
    <t>Section 4: Post-Incident Review (PIR) Effectiveness Tracker</t>
  </si>
  <si>
    <t>PIR ID</t>
  </si>
  <si>
    <t>Corrective Action Taken</t>
  </si>
  <si>
    <t>Effectiveness Criteria</t>
  </si>
  <si>
    <t>Review Date</t>
  </si>
  <si>
    <t>Effectiveness Status</t>
  </si>
  <si>
    <t>Reviewer</t>
  </si>
  <si>
    <t>INC-001 - Claims FNOL drift</t>
  </si>
  <si>
    <t>Retraining with refreshed data; revised drift threshold; cadence increased</t>
  </si>
  <si>
    <t>No recurrence of drift on same model within 90 days; seasonal features validated</t>
  </si>
  <si>
    <t>Effective</t>
  </si>
  <si>
    <t>None</t>
  </si>
  <si>
    <t>INC-002 - UW pricing outlier</t>
  </si>
  <si>
    <t>Added guardrail rule; updated pricing committee escalation</t>
  </si>
  <si>
    <t>No recurrence of uncontrolled outlier quote within 90 days</t>
  </si>
  <si>
    <t>INC-003 - Voice agent inaccurate suggestion</t>
  </si>
  <si>
    <t>Index refresh automation; content owner cadence updated; sample QA increase</t>
  </si>
  <si>
    <t>No recurrence of stale-content surfacing; index freshness SLA met</t>
  </si>
  <si>
    <t>INC-004 - M365 Copilot label leak</t>
  </si>
  <si>
    <t>Label review cycle introduced; Purview policy refresh</t>
  </si>
  <si>
    <t>No recurrence of label inheritance gap; quarterly label audit clean</t>
  </si>
  <si>
    <t>Pending</t>
  </si>
  <si>
    <t>Label inheritance on legacy sites</t>
  </si>
  <si>
    <t>INC-005 - Tractable vendor outage</t>
  </si>
  <si>
    <t>Vendor SLA exceptions; resilience plan updated; tabletop scheduled</t>
  </si>
  <si>
    <t>Tabletop exercise completed; fallback invoked within RTO</t>
  </si>
  <si>
    <t>Tabletop not yet completed</t>
  </si>
  <si>
    <t>INC-006 - ABBYY extraction error</t>
  </si>
  <si>
    <t>Vendor template update; QA sample increase</t>
  </si>
  <si>
    <t>Template SLA met; no recurrence on same format</t>
  </si>
  <si>
    <t>INC-007 - PAM privilege escalation</t>
  </si>
  <si>
    <t>No privilege over-assignment in subsequent quarters; automated test passing</t>
  </si>
  <si>
    <t>INC-008 - Policy smart search hallucination</t>
  </si>
  <si>
    <t>Filter re-tuned; vendor change-window controls strengthened</t>
  </si>
  <si>
    <t>No recurrence post vendor updates; change-window QA alignment confirmed</t>
  </si>
  <si>
    <t>Vendor change-window alignment ongoing</t>
  </si>
  <si>
    <t>Section 5: Continual Improvement Register (ISO 42001 Clause 10.2)</t>
  </si>
  <si>
    <t>CI ID</t>
  </si>
  <si>
    <t>Improvement Opportunity</t>
  </si>
  <si>
    <t>Expected Benefit</t>
  </si>
  <si>
    <t>Review Forum</t>
  </si>
  <si>
    <t>CI-001</t>
  </si>
  <si>
    <t>Automate KRI data collection from source systems to reduce manual effort</t>
  </si>
  <si>
    <t>Efficiency</t>
  </si>
  <si>
    <t>Reduce monthly KRI reporting effort by 60%; improve data currency</t>
  </si>
  <si>
    <t>AIGF</t>
  </si>
  <si>
    <t>Tied to Sentinel migration</t>
  </si>
  <si>
    <t>CI-002</t>
  </si>
  <si>
    <t>Implement automated evidence currency alerting (email 30 days before expiry)</t>
  </si>
  <si>
    <t>Prevent evidence staleness; reduce audit prep effort</t>
  </si>
  <si>
    <t>Part of ISO 42001 readiness</t>
  </si>
  <si>
    <t>CI-003</t>
  </si>
  <si>
    <t>Extend bias monitoring to all Tier-2 customer-facing use cases</t>
  </si>
  <si>
    <t>Risk Reduction</t>
  </si>
  <si>
    <t>Expand fairness assurance coverage from 11 to 16 use cases</t>
  </si>
  <si>
    <t>Consumer Duty alignment</t>
  </si>
  <si>
    <t>CI-004</t>
  </si>
  <si>
    <t>Develop quantitative scenario-range risk modelling capability</t>
  </si>
  <si>
    <t>Risk Maturity</t>
  </si>
  <si>
    <t>Move from point-estimate to range-based exposure; inform risk appetite reset</t>
  </si>
  <si>
    <t>Board decision DEC-Q1-04</t>
  </si>
  <si>
    <t>CI-005</t>
  </si>
  <si>
    <t>Establish AI Security operating model v2 with clear RACI refresh</t>
  </si>
  <si>
    <t>Clear accountability; efficient decision rights; reduced escalation friction</t>
  </si>
  <si>
    <t>Depends on FTE hiring</t>
  </si>
  <si>
    <t>CI-006</t>
  </si>
  <si>
    <t>Introduce automated drift detection for Tier-2 models</t>
  </si>
  <si>
    <t>PIR-001 lessons</t>
  </si>
  <si>
    <t>Detection</t>
  </si>
  <si>
    <t>Extend drift coverage from Tier-1 (100%) to Tier-2 (target 80%)</t>
  </si>
  <si>
    <t>Reduces KRI-001 future risk</t>
  </si>
  <si>
    <t>CI-007</t>
  </si>
  <si>
    <t>Implement vendor change-window notification integration with QA calendar</t>
  </si>
  <si>
    <t>PIR-008 lessons</t>
  </si>
  <si>
    <t>Process</t>
  </si>
  <si>
    <t>Prevent filter regression by aligning vendor updates with QA windows</t>
  </si>
  <si>
    <t>Directly addresses INC-008 root cause</t>
  </si>
  <si>
    <t>CI-008</t>
  </si>
  <si>
    <t>Develop board-level AI risk appetite statement with quantified thresholds</t>
  </si>
  <si>
    <t>Board feedback</t>
  </si>
  <si>
    <t>Formal risk appetite enables clearer escalation and de-escalation criteria</t>
  </si>
  <si>
    <t>Risk Committee / Board</t>
  </si>
  <si>
    <t>Feeds DEC-Q1-04</t>
  </si>
  <si>
    <t>Section 6: Summary Metrics</t>
  </si>
  <si>
    <t>Total Audits</t>
  </si>
  <si>
    <t>Audits Closed</t>
  </si>
  <si>
    <t>Open CAs</t>
  </si>
  <si>
    <t>Overdue CAs</t>
  </si>
  <si>
    <t>PIRs Effective</t>
  </si>
  <si>
    <t>PIRs Pending</t>
  </si>
  <si>
    <t>Scheduled + completed</t>
  </si>
  <si>
    <t>Findings closed out</t>
  </si>
  <si>
    <t>Active remediation</t>
  </si>
  <si>
    <t>Past target close date</t>
  </si>
  <si>
    <t>Controls confirmed working</t>
  </si>
  <si>
    <t>Awaiting effectiveness review</t>
  </si>
  <si>
    <t>End of Management Review and Internal Audit Tracker  |  ISO 42001 Clauses 9.2, 9.3, 10.1, 10.2  |  Owner: AI Security Manager &amp; Internal Audit  |  Classification: Internal - Restricted</t>
  </si>
  <si>
    <t>End of Executive Report  |  Owner: AI Security Manager  |  Distribution: Board, ExCo, Risk Committee, Audit Committee  |  Classification: Board Confidential</t>
  </si>
  <si>
    <t>AI Security Management Workbook - Original Forms (Template)</t>
  </si>
  <si>
    <t>Blank data entry forms for each operational sheet. Complete these forms then transfer data to the main workbook. Cells with red corner comments contain field guidance.</t>
  </si>
  <si>
    <t>#</t>
  </si>
  <si>
    <t>Form Sheet Name</t>
  </si>
  <si>
    <t>Key Fields</t>
  </si>
  <si>
    <t>Rows for Entry</t>
  </si>
  <si>
    <t>FORM - AI Use Case Register</t>
  </si>
  <si>
    <t>Register new AI use cases with full linkage</t>
  </si>
  <si>
    <t>31 fields per use case</t>
  </si>
  <si>
    <t>FORM - Risk Quantification</t>
  </si>
  <si>
    <t>Log and score AI risks with controls</t>
  </si>
  <si>
    <t>18 fields per risk</t>
  </si>
  <si>
    <t>FORM - KRI Tracking</t>
  </si>
  <si>
    <t>Record Key Risk Indicators with thresholds</t>
  </si>
  <si>
    <t>14 fields per KRI</t>
  </si>
  <si>
    <t>FORM - KPI Tracking</t>
  </si>
  <si>
    <t>Record Key Performance Indicators</t>
  </si>
  <si>
    <t>11 fields per KPI</t>
  </si>
  <si>
    <t>FORM - Incident Analysis</t>
  </si>
  <si>
    <t>Log AI incidents and near misses</t>
  </si>
  <si>
    <t>14 fields per incident</t>
  </si>
  <si>
    <t>FORM - Third-Party Risk</t>
  </si>
  <si>
    <t>Vendor due diligence and risk tracking</t>
  </si>
  <si>
    <t>17 fields per vendor</t>
  </si>
  <si>
    <t>FORM - Compliance Mapping</t>
  </si>
  <si>
    <t>ISO 42001 control library with audit detail</t>
  </si>
  <si>
    <t>18 fields per control</t>
  </si>
  <si>
    <t>FORM - Service Catalog</t>
  </si>
  <si>
    <t>AI security service definitions</t>
  </si>
  <si>
    <t>13 fields per service</t>
  </si>
  <si>
    <t>FORM - SLA-SLO Definitions</t>
  </si>
  <si>
    <t>Service level agreements and objectives</t>
  </si>
  <si>
    <t>10 fields per SLA</t>
  </si>
  <si>
    <t>FORM - Service Request Log</t>
  </si>
  <si>
    <t>Track service requests and demand</t>
  </si>
  <si>
    <t>14 fields per request</t>
  </si>
  <si>
    <t>FORM - Governance Framework</t>
  </si>
  <si>
    <t>Committee and forum definitions</t>
  </si>
  <si>
    <t>11 fields per committee</t>
  </si>
  <si>
    <t>FORM - RACI Matrix</t>
  </si>
  <si>
    <t>Activity-level RACI assignments</t>
  </si>
  <si>
    <t>12 fields per activity</t>
  </si>
  <si>
    <t>FORM - Maturity Assessment</t>
  </si>
  <si>
    <t>Domain maturity scoring</t>
  </si>
  <si>
    <t>11 fields per domain</t>
  </si>
  <si>
    <t>FORM - Implementation Roadmap</t>
  </si>
  <si>
    <t>Roadmap workstreams and milestones</t>
  </si>
  <si>
    <t>12 fields per item</t>
  </si>
  <si>
    <t>FORM - Resource Planning</t>
  </si>
  <si>
    <t>Workforce roles and FTE planning</t>
  </si>
  <si>
    <t>11 fields per role</t>
  </si>
  <si>
    <t>FORM - Financial Analysis</t>
  </si>
  <si>
    <t>Budget lines and cost tracking</t>
  </si>
  <si>
    <t>9 fields per line</t>
  </si>
  <si>
    <t>FORM - Cloud Security</t>
  </si>
  <si>
    <t>Cloud security controls for AI workloads</t>
  </si>
  <si>
    <t>11 fields per control</t>
  </si>
  <si>
    <t>FORM - IAM Services</t>
  </si>
  <si>
    <t>Identity and access controls</t>
  </si>
  <si>
    <t>FORM - Technology Stack</t>
  </si>
  <si>
    <t>AI tooling inventory</t>
  </si>
  <si>
    <t>11 fields per tool</t>
  </si>
  <si>
    <t>FORM - Automation Hub</t>
  </si>
  <si>
    <t>Control and evidence automations</t>
  </si>
  <si>
    <t>12 fields per automation</t>
  </si>
  <si>
    <t>FORM - Business Continuity</t>
  </si>
  <si>
    <t>AI service resilience profiles</t>
  </si>
  <si>
    <t>11 fields per service</t>
  </si>
  <si>
    <t>FORM - Mgmt Review &amp; Audit</t>
  </si>
  <si>
    <t>Audits, reviews, corrective actions, PIRs</t>
  </si>
  <si>
    <t>Multiple tables</t>
  </si>
  <si>
    <t xml:space="preserve">Management Review and Internal </t>
  </si>
  <si>
    <t>FORM - Metrics Calc Guide</t>
  </si>
  <si>
    <t>Metric formula documentation</t>
  </si>
  <si>
    <t>8 fields per metric</t>
  </si>
  <si>
    <t>FORM - Reference Data</t>
  </si>
  <si>
    <t>Dropdown lists and validation values</t>
  </si>
  <si>
    <t>28 lookup columns</t>
  </si>
  <si>
    <t>AI Use Case Register - Data Entry Form</t>
  </si>
  <si>
    <t>Complete one row per AI use case. Use IDs from Reference Data. Guidance row explains each field.</t>
  </si>
  <si>
    <t>AUC-001 format</t>
  </si>
  <si>
    <t>Full name of AI capability</t>
  </si>
  <si>
    <t>e.g. Underwriting, Claims, Fraud</t>
  </si>
  <si>
    <t>What the AI does in plain language</t>
  </si>
  <si>
    <t>Business goal it serves</t>
  </si>
  <si>
    <t>Traditional ML / Deep Learning / GenAI / NLP / Computer Vision / Hybrid</t>
  </si>
  <si>
    <t>Internal on Databricks / Vendor SaaS / Vendor API / Embedded feature</t>
  </si>
  <si>
    <t>SaaS / PaaS / IaaS / On-Premise / Hybrid</t>
  </si>
  <si>
    <t>VEN-001 format. Blank if internal model.</t>
  </si>
  <si>
    <t>SVC-001 format. Link to Service Catalog.</t>
  </si>
  <si>
    <t>Senior business sponsor name</t>
  </si>
  <si>
    <t>Technical lead / data scientist</t>
  </si>
  <si>
    <t>Person accountable for risk</t>
  </si>
  <si>
    <t>Public / Internal / Confidential / Restricted</t>
  </si>
  <si>
    <t>Yes / No</t>
  </si>
  <si>
    <t>Yes = customer-facing. No = internal only.</t>
  </si>
  <si>
    <t>Tier 1 = Critical. Tier 2 = Important. Tier 3 = Low.</t>
  </si>
  <si>
    <t>Draft / Pending Review / Conditionally Approved / Approved / Suspended / Retired</t>
  </si>
  <si>
    <t>Planned / In Progress / Complete</t>
  </si>
  <si>
    <t>Comma-separated RSK-IDs from Risk Register</t>
  </si>
  <si>
    <t>Comma-separated CTL-IDs from Compliance Mapping</t>
  </si>
  <si>
    <t>Comma-separated KPI-IDs</t>
  </si>
  <si>
    <t>Comma-separated KRI-IDs</t>
  </si>
  <si>
    <t>Comma-separated INC-IDs (if any)</t>
  </si>
  <si>
    <t>Comma-separated RDM-IDs</t>
  </si>
  <si>
    <t>Which committee oversees this use case</t>
  </si>
  <si>
    <t>EVD-ID linking to evidence</t>
  </si>
  <si>
    <t>dd/mm/yyyy last reviewed</t>
  </si>
  <si>
    <t>dd/mm/yyyy next review due</t>
  </si>
  <si>
    <t>Free text</t>
  </si>
  <si>
    <t>Current / Overdue</t>
  </si>
  <si>
    <t>Risk Quantification - Data Entry Form</t>
  </si>
  <si>
    <t>One row per AI risk. Score likelihood and impact 1-5. Inherent = before controls. Residual = after controls. Exposure in GBP millions.</t>
  </si>
  <si>
    <t>Quantified Exposure (GBP M)</t>
  </si>
  <si>
    <t>RSK-001 format</t>
  </si>
  <si>
    <t>Short descriptive name</t>
  </si>
  <si>
    <t>Comma-separated AUC-IDs</t>
  </si>
  <si>
    <t>Comma-separated VEN-IDs. Blank if no vendor.</t>
  </si>
  <si>
    <t>1=Rare 2=Unlikely 3=Possible 4=Likely 5=Almost Certain</t>
  </si>
  <si>
    <t>1=Negligible 2=Minor 3=Moderate 4=Major 5=Severe</t>
  </si>
  <si>
    <t>Auto: Likelihood x Impact (use formula)</t>
  </si>
  <si>
    <t>Summary of controls that reduce this risk</t>
  </si>
  <si>
    <t>Same 1-5 scale AFTER controls applied</t>
  </si>
  <si>
    <t>Auto: Residual L x I (use formula)</t>
  </si>
  <si>
    <t>Estimated financial exposure in GBP millions</t>
  </si>
  <si>
    <t>Accept / Mitigate / Transfer / Avoid</t>
  </si>
  <si>
    <t>ACT-ID linking to treatment action</t>
  </si>
  <si>
    <t>Risk owner name</t>
  </si>
  <si>
    <t>KRI Tracking - Data Entry Form</t>
  </si>
  <si>
    <t>One row per Key Risk Indicator. Set amber and red thresholds. Update current value and trend monthly.</t>
  </si>
  <si>
    <t>KRI-001 format</t>
  </si>
  <si>
    <t>What the indicator measures</t>
  </si>
  <si>
    <t>RSK-ID from Risk Register</t>
  </si>
  <si>
    <t>Comma-separated AUC/VEN IDs</t>
  </si>
  <si>
    <t>Numeric threshold that triggers amber</t>
  </si>
  <si>
    <t>Numeric threshold that triggers red</t>
  </si>
  <si>
    <t>Latest measured value</t>
  </si>
  <si>
    <t>Desired target value (if applicable)</t>
  </si>
  <si>
    <t>Improving / Stable / Deteriorating</t>
  </si>
  <si>
    <t>Green / Amber / Red (based on thresholds)</t>
  </si>
  <si>
    <t>KRI owner name</t>
  </si>
  <si>
    <t>What action is being taken if breached</t>
  </si>
  <si>
    <t>dd/mm/yyyy date of last review</t>
  </si>
  <si>
    <t>BAU / Monitor at next AIGF / Escalate to Risk Committee</t>
  </si>
  <si>
    <t>KPI Tracking - Data Entry Form</t>
  </si>
  <si>
    <t>One row per Key Performance Indicator. Set target, record actual, assess status monthly.</t>
  </si>
  <si>
    <t>KPI-001 format</t>
  </si>
  <si>
    <t>What the KPI measures</t>
  </si>
  <si>
    <t>Comma-separated SVC/AUC/CTL IDs</t>
  </si>
  <si>
    <t>Target value (decimal for %, integer for counts, minutes for time)</t>
  </si>
  <si>
    <t>Latest actual value (same unit as target)</t>
  </si>
  <si>
    <t>On Track / At Risk / Off Track</t>
  </si>
  <si>
    <t>KPI owner name</t>
  </si>
  <si>
    <t>Weekly / Monthly / Quarterly</t>
  </si>
  <si>
    <t>Where and how the data is collected</t>
  </si>
  <si>
    <t>Free text for context</t>
  </si>
  <si>
    <t>Incident Analysis - Data Entry Form</t>
  </si>
  <si>
    <t>One row per AI incident or near miss. Complete all fields. PIR = Post-Incident Review.</t>
  </si>
  <si>
    <t>INC-001 format</t>
  </si>
  <si>
    <t>dd/mm/yyyy incident date</t>
  </si>
  <si>
    <t>Model Drift / Output Quality / Data Leakage / Access Violation / Vendor Outage / AI Misuse</t>
  </si>
  <si>
    <t>Sev 1 (Critical) / Sev 2 (Major) / Sev 3 (Minor)</t>
  </si>
  <si>
    <t>Comma-separated AUC/SVC/VEN/RSK IDs</t>
  </si>
  <si>
    <t>One-line description of what happened</t>
  </si>
  <si>
    <t>Why it happened (root cause analysis)</t>
  </si>
  <si>
    <t>What was the business/customer impact</t>
  </si>
  <si>
    <t>Immediate action taken to stop the harm</t>
  </si>
  <si>
    <t>Longer-term fix to prevent recurrence</t>
  </si>
  <si>
    <t>Incident owner name</t>
  </si>
  <si>
    <t>Key takeaways for the organisation</t>
  </si>
  <si>
    <t>Open / Under Review / Closed</t>
  </si>
  <si>
    <t>PIR-001 format. Link to PIR document.</t>
  </si>
  <si>
    <t>Third-Party Risk - Data Entry Form</t>
  </si>
  <si>
    <t>One row per AI vendor/supplier. Track due diligence, security review, privacy review, and contract status.</t>
  </si>
  <si>
    <t>Vendor Category</t>
  </si>
  <si>
    <t>VEN-001 format</t>
  </si>
  <si>
    <t>Legal entity name of supplier</t>
  </si>
  <si>
    <t>What AI service they provide to us</t>
  </si>
  <si>
    <t>Comma-separated AUC-IDs using this vendor</t>
  </si>
  <si>
    <t>Highest data classification they handle</t>
  </si>
  <si>
    <t>Not Started / In Progress / Complete</t>
  </si>
  <si>
    <t>dd/mm/yyyy contract renewal date</t>
  </si>
  <si>
    <t>Green / Amber / Red overall residual risk</t>
  </si>
  <si>
    <t>Summary of key DD/security/privacy findings</t>
  </si>
  <si>
    <t>What remediation is needed (or BAU)</t>
  </si>
  <si>
    <t>Low / Medium / High. How hard to replace.</t>
  </si>
  <si>
    <t>Vendor relationship owner name</t>
  </si>
  <si>
    <t>Auto-calc: Renewal date minus today</t>
  </si>
  <si>
    <t>Tier 1 / High Criticality or general category</t>
  </si>
  <si>
    <t>Compliance Mapping - Data Entry Form</t>
  </si>
  <si>
    <t>One row per control. Maps to ISO 42001, ISO 27001, NIST AI RMF and FCA. Include audit readiness detail.</t>
  </si>
  <si>
    <t>Other Framework Ref</t>
  </si>
  <si>
    <t>Potential NC if Absent</t>
  </si>
  <si>
    <t>CTL-001 format</t>
  </si>
  <si>
    <t>Full statement of what the control requires</t>
  </si>
  <si>
    <t>e.g. Clause 6.1, 8.1, 9.1</t>
  </si>
  <si>
    <t>e.g. A.6.2.2, A.7.5</t>
  </si>
  <si>
    <t>ISO 27001 / NIST AI RMF / FCA reference</t>
  </si>
  <si>
    <t>Why this control exists (plain English)</t>
  </si>
  <si>
    <t>POL-ID linking to policy document</t>
  </si>
  <si>
    <t>Control owner name</t>
  </si>
  <si>
    <t>Comma-separated AUC-IDs in scope</t>
  </si>
  <si>
    <t>Comma-separated SVC-IDs in scope</t>
  </si>
  <si>
    <t>Implemented / Partially Implemented / Planned/Not Implemented</t>
  </si>
  <si>
    <t>Monthly / Quarterly / Half-yearly / Annual</t>
  </si>
  <si>
    <t>How an auditor would test this control</t>
  </si>
  <si>
    <t>Who would be interviewed at audit</t>
  </si>
  <si>
    <t>No material gaps / Description of gap</t>
  </si>
  <si>
    <t>Major / Minor. What NC type if control is absent.</t>
  </si>
  <si>
    <t>CA-ID or ACT-ID if remediation needed</t>
  </si>
  <si>
    <t>Service Catalog Master - Data Entry Form</t>
  </si>
  <si>
    <t>One row per AI security service. Define service scope, ownership, and linkages.</t>
  </si>
  <si>
    <t>SVC-001 format</t>
  </si>
  <si>
    <t>Short name of the service</t>
  </si>
  <si>
    <t>Governance / Risk / Security / Monitoring / Assurance / Privacy / Operations</t>
  </si>
  <si>
    <t>What the service delivers in plain language</t>
  </si>
  <si>
    <t>How requests come in (ServiceNow / email / AIGF / etc.)</t>
  </si>
  <si>
    <t>Person accountable for service delivery</t>
  </si>
  <si>
    <t>Who consumes this service (BU names or All)</t>
  </si>
  <si>
    <t>Comma-separated CTL-IDs</t>
  </si>
  <si>
    <t>Key deliverables/outputs</t>
  </si>
  <si>
    <t>Dependencies on other services or teams</t>
  </si>
  <si>
    <t>How this service supports audit/compliance</t>
  </si>
  <si>
    <t>SLA-SLO Definitions - Data Entry Form</t>
  </si>
  <si>
    <t>One row per service SLA/SLO. Define targets, measurement, and breach rules.</t>
  </si>
  <si>
    <t>SVC-ID from Service Catalog</t>
  </si>
  <si>
    <t>Name of the service</t>
  </si>
  <si>
    <t>e.g. 2 working days, 4 hours, same day</t>
  </si>
  <si>
    <t>e.g. 10 working days, 30 calendar days</t>
  </si>
  <si>
    <t>Quality threshold e.g. 95% pass rate, &lt;4% reject</t>
  </si>
  <si>
    <t>System or report that provides the data</t>
  </si>
  <si>
    <t>What triggers a breach notification</t>
  </si>
  <si>
    <t>What is excluded from SLA calculation</t>
  </si>
  <si>
    <t>How severity affects target (e.g. Sev 1 = halved)</t>
  </si>
  <si>
    <t>Service Request Log - Data Entry Form</t>
  </si>
  <si>
    <t>One row per service request. Track from raised to closed with SLA measurement.</t>
  </si>
  <si>
    <t>REQ-001 format</t>
  </si>
  <si>
    <t>dd/mm/yyyy date raised</t>
  </si>
  <si>
    <t>New Use Case Intake / Model Change / Risk Assessment / Vendor Review / etc.</t>
  </si>
  <si>
    <t>Business unit that raised the request</t>
  </si>
  <si>
    <t>Critical / High / Medium / Low</t>
  </si>
  <si>
    <t>Person handling the request</t>
  </si>
  <si>
    <t>Not Started / In Progress / On Hold / Closed</t>
  </si>
  <si>
    <t>dd/mm/yyyy SLA target date</t>
  </si>
  <si>
    <t>dd/mm/yyyy actual completion (blank if open)</t>
  </si>
  <si>
    <t>Auto-calc: TODAY minus Date Raised (use formula)</t>
  </si>
  <si>
    <t>Yes / No. Was it closed within SLA target?</t>
  </si>
  <si>
    <t>AUC-ID if linked to a specific use case</t>
  </si>
  <si>
    <t>Free text notes</t>
  </si>
  <si>
    <t>Governance Framework - Data Entry Form</t>
  </si>
  <si>
    <t>One row per governance committee or forum. Define mandate, membership, cadence and reporting.</t>
  </si>
  <si>
    <t>COM-001 format</t>
  </si>
  <si>
    <t>Official committee name</t>
  </si>
  <si>
    <t>Short purpose statement</t>
  </si>
  <si>
    <t>What authority it has (approve, recommend, oversee)</t>
  </si>
  <si>
    <t>Name and title of chair</t>
  </si>
  <si>
    <t>Key roles that attend</t>
  </si>
  <si>
    <t>Monthly / Quarterly / Ad hoc</t>
  </si>
  <si>
    <t>Where issues escalate to (e.g. Board, Risk Committee)</t>
  </si>
  <si>
    <t>What reports/packs it produces</t>
  </si>
  <si>
    <t>Examples of decisions this body makes</t>
  </si>
  <si>
    <t>POL-IDs of policies it governs</t>
  </si>
  <si>
    <t>RACI Matrix - Data Entry Form</t>
  </si>
  <si>
    <t>One row per AI lifecycle activity. Assign R=Responsible, A=Accountable, C=Consulted, I=Informed per role.</t>
  </si>
  <si>
    <t>ACT-001 format</t>
  </si>
  <si>
    <t>Description of the activity</t>
  </si>
  <si>
    <t>R/A/C/I for Business Owner</t>
  </si>
  <si>
    <t>R/A/C/I for AI Security Mgr</t>
  </si>
  <si>
    <t>R/A/C/I for CISO</t>
  </si>
  <si>
    <t>R/A/C/I for CRO/Risk</t>
  </si>
  <si>
    <t>R/A/C/I for DPO</t>
  </si>
  <si>
    <t>R/A/C/I for Data Science</t>
  </si>
  <si>
    <t>R/A/C/I for Internal Audit</t>
  </si>
  <si>
    <t>R/A/C/I for Procurement</t>
  </si>
  <si>
    <t>R/A/C/I for Tech/Cloud</t>
  </si>
  <si>
    <t>POL-IDs governing this activity</t>
  </si>
  <si>
    <t>Maturity Assessment - Data Entry Form</t>
  </si>
  <si>
    <t>One row per capability domain. Score current maturity 1-5 and set target. 1=Initial, 2=Developing, 3=Defined, 4=Managed, 5=Optimised.</t>
  </si>
  <si>
    <t>MAT-01 format</t>
  </si>
  <si>
    <t>Domain name (e.g. Governance, Risk Management)</t>
  </si>
  <si>
    <t>What this domain covers in plain language</t>
  </si>
  <si>
    <t>1=Initial 2=Developing 3=Defined 4=Managed 5=Optimised</t>
  </si>
  <si>
    <t>Auto-lookup level name from score</t>
  </si>
  <si>
    <t>1-5 target maturity score</t>
  </si>
  <si>
    <t>Auto-calc: Target minus Current (use formula)</t>
  </si>
  <si>
    <t>Why this score was given and what would move it up</t>
  </si>
  <si>
    <t>Comma-separated RDM-IDs addressing this domain</t>
  </si>
  <si>
    <t>Domain owner name</t>
  </si>
  <si>
    <t>Implementation Roadmap - Data Entry Form</t>
  </si>
  <si>
    <t>One row per roadmap workstream/milestone. Track status, completion, and dependencies.</t>
  </si>
  <si>
    <t>RDM-001 format</t>
  </si>
  <si>
    <t>Workstream name (e.g. Customer AI Guardrails)</t>
  </si>
  <si>
    <t>Specific milestone or deliverable</t>
  </si>
  <si>
    <t>MAT-ID / RSK-ID / CTL-ID this addresses</t>
  </si>
  <si>
    <t>Workstream owner name</t>
  </si>
  <si>
    <t>dd/mm/yyyy planned start</t>
  </si>
  <si>
    <t>dd/mm/yyyy planned end</t>
  </si>
  <si>
    <t>On Track / In Progress / Delayed / Not Started / Complete</t>
  </si>
  <si>
    <t>0-100% completion estimate</t>
  </si>
  <si>
    <t>Phase 1 Foundation / Phase 2 Embed / Phase 3 Transform</t>
  </si>
  <si>
    <t>Other RDM-IDs or external dependencies</t>
  </si>
  <si>
    <t>Free text on progress, blockers, next steps</t>
  </si>
  <si>
    <t>Resource Planning - Data Entry Form</t>
  </si>
  <si>
    <t>One row per role in the AI Security function. Track current vs target FTE and hiring needs.</t>
  </si>
  <si>
    <t>RES-001 format</t>
  </si>
  <si>
    <t>Job title / role name</t>
  </si>
  <si>
    <t>Current headcount in this role</t>
  </si>
  <si>
    <t>Target headcount needed</t>
  </si>
  <si>
    <t>Internal FTE / Contractor / Managed Service / Vendor Augmentation</t>
  </si>
  <si>
    <t>Key skills and certifications required</t>
  </si>
  <si>
    <t>Which services/domains this role covers</t>
  </si>
  <si>
    <t>Low / Medium / High. Single point of failure risk.</t>
  </si>
  <si>
    <t>Certifications or training needed (e.g. AZ-500, ISO 42001)</t>
  </si>
  <si>
    <t>Hire by date / Identify deputy / Succession candidate</t>
  </si>
  <si>
    <t>Key dates or milestones for this role</t>
  </si>
  <si>
    <t>Financial Analysis - Data Entry Form</t>
  </si>
  <si>
    <t>One row per budget line. All values in GBP thousands. Categorise as Run (BAU) or Change (programme).</t>
  </si>
  <si>
    <t>Annual Cost (GBP k)</t>
  </si>
  <si>
    <t>BUD-001 format</t>
  </si>
  <si>
    <t>Description of budget item</t>
  </si>
  <si>
    <t>People / Tooling / Programme / Licensing / Consultancy / Training</t>
  </si>
  <si>
    <t>Run (BAU operational) / Change (programme/project)</t>
  </si>
  <si>
    <t>Annual cost in GBP thousands</t>
  </si>
  <si>
    <t>Auto-calc: Annual/12 (use formula)</t>
  </si>
  <si>
    <t>Budget owner name</t>
  </si>
  <si>
    <t>Over/under vs prior year or plan (+ or -)</t>
  </si>
  <si>
    <t>Justification or notes on this line item</t>
  </si>
  <si>
    <t>Cloud Security Services - Data Entry Form</t>
  </si>
  <si>
    <t>One row per cloud security control or service protecting AI workloads.</t>
  </si>
  <si>
    <t>e.g. CSPM, WAF, DLP, Encryption</t>
  </si>
  <si>
    <t>What the control does in plain language</t>
  </si>
  <si>
    <t>CTL-ID from Compliance Mapping</t>
  </si>
  <si>
    <t>Comma-separated AUC/SVC IDs in scope</t>
  </si>
  <si>
    <t>Implemented / Partially / Planned</t>
  </si>
  <si>
    <t>Tool or platform used (e.g. Defender, Sentinel)</t>
  </si>
  <si>
    <t>Full / Partial. Which workloads are covered.</t>
  </si>
  <si>
    <t>dd/mm/yyyy last tested or verified</t>
  </si>
  <si>
    <t>IAM Services - Data Entry Form</t>
  </si>
  <si>
    <t>One row per identity and access control covering AI services and data.</t>
  </si>
  <si>
    <t>e.g. PAM, MFA, RBAC, Service Accounts</t>
  </si>
  <si>
    <t>What the IAM control does</t>
  </si>
  <si>
    <t>Which systems/services are in scope</t>
  </si>
  <si>
    <t>Tool or platform (e.g. Entra ID, CyberArk)</t>
  </si>
  <si>
    <t>dd/mm/yyyy last recertification completed</t>
  </si>
  <si>
    <t>Technology Stack - Data Entry Form</t>
  </si>
  <si>
    <t>One row per technology/tool in the AI estate. Document purpose, ownership, and security relevance.</t>
  </si>
  <si>
    <t>Product or platform name</t>
  </si>
  <si>
    <t>ML Platform / SIEM / DLP / IAM / Cloud / Monitoring / Data / GenAI / Orchestration</t>
  </si>
  <si>
    <t>Vendor name (or Internal)</t>
  </si>
  <si>
    <t>What it does for the AI estate</t>
  </si>
  <si>
    <t>Active / Transitioning / Retiring / Planned</t>
  </si>
  <si>
    <t>Technology owner name</t>
  </si>
  <si>
    <t>Production / UAT / Dev / All</t>
  </si>
  <si>
    <t>Comma-separated SVC/AUC IDs</t>
  </si>
  <si>
    <t>Why this matters for AI security (plain language)</t>
  </si>
  <si>
    <t>Automation Hub - Data Entry Form</t>
  </si>
  <si>
    <t>One row per automation supporting AI controls, evidence, or operational workflows.</t>
  </si>
  <si>
    <t>AUTO-001 format</t>
  </si>
  <si>
    <t>What the automation does and why</t>
  </si>
  <si>
    <t>Event / Schedule / Manual trigger</t>
  </si>
  <si>
    <t>Platform running it (e.g. Logic Apps, Power Automate, Sentinel)</t>
  </si>
  <si>
    <t>Automation owner name</t>
  </si>
  <si>
    <t>Monthly / Quarterly / Half-yearly</t>
  </si>
  <si>
    <t>What happens if the automation fails</t>
  </si>
  <si>
    <t>Manual process if automation is unavailable</t>
  </si>
  <si>
    <t>dd/mm/yyyy last tested</t>
  </si>
  <si>
    <t>Business Continuity - Data Entry Form</t>
  </si>
  <si>
    <t>One row per critical AI service. Define RTO, RPO, fallback, and testing schedule.</t>
  </si>
  <si>
    <t>Service or use case name</t>
  </si>
  <si>
    <t>Mission Critical / High / Medium / Low</t>
  </si>
  <si>
    <t>Recovery Time Objective (e.g. 4 hours, 24 hours)</t>
  </si>
  <si>
    <t>Recovery Point Objective (e.g. 1 hour, same day)</t>
  </si>
  <si>
    <t>What happens if AI is unavailable (e.g. manual process, queue)</t>
  </si>
  <si>
    <t>Detailed manual workaround steps</t>
  </si>
  <si>
    <t>Key dependencies (other systems, vendors, people)</t>
  </si>
  <si>
    <t>Half-yearly / Annual / After major change</t>
  </si>
  <si>
    <t>dd/mm/yyyy last BCP test or tabletop</t>
  </si>
  <si>
    <t>dd/mm/yyyy next scheduled test</t>
  </si>
  <si>
    <t>Owner name and key resilience risk statement</t>
  </si>
  <si>
    <t>Management Review and Internal Audit - Data Entry Forms</t>
  </si>
  <si>
    <t>Contains 4 sub-forms: Internal Audits, Management Reviews, Corrective Actions, and Continual Improvement items. Complete relevant sections.</t>
  </si>
  <si>
    <t>A. Internal Audit Register (ISO 42001 Clause 9.2)</t>
  </si>
  <si>
    <t>AUDIT-001 format</t>
  </si>
  <si>
    <t>What was audited and scope boundaries</t>
  </si>
  <si>
    <t>ISO 42001 clauses covered</t>
  </si>
  <si>
    <t>Name and affiliation of auditor</t>
  </si>
  <si>
    <t>Planned / In Progress / Closed</t>
  </si>
  <si>
    <t>dd/mm/yyyy audit date</t>
  </si>
  <si>
    <t>Total finding count</t>
  </si>
  <si>
    <t>Count of Major nonconformities</t>
  </si>
  <si>
    <t>Count of Minor nonconformities</t>
  </si>
  <si>
    <t>Count of Observations</t>
  </si>
  <si>
    <t>One-line summary of key findings</t>
  </si>
  <si>
    <t>CA-IDs raised from this audit</t>
  </si>
  <si>
    <t>B. Management Reviews (ISO 42001 Clause 9.3)</t>
  </si>
  <si>
    <t>MR-YYYY-QN format</t>
  </si>
  <si>
    <t>e.g. AIMS Quarterly Management Review Q1 2026</t>
  </si>
  <si>
    <t>dd/mm/yyyy review date</t>
  </si>
  <si>
    <t>Chair name and title</t>
  </si>
  <si>
    <t>Closed / Scheduled</t>
  </si>
  <si>
    <t>All 9.3 inputs: changes, performance, audits, NCs, KPIs, risks, opportunities, resources, improvement</t>
  </si>
  <si>
    <t>Key decisions made at this review</t>
  </si>
  <si>
    <t>CA-IDs raised (e.g. 3 (CA-001, CA-002, CA-003))</t>
  </si>
  <si>
    <t>Yes / Partial / No. Confirmed at next review.</t>
  </si>
  <si>
    <t>EVD-ID of meeting minutes</t>
  </si>
  <si>
    <t>dd/mm/yyyy next scheduled review</t>
  </si>
  <si>
    <t>EVD-ID of evidence pack</t>
  </si>
  <si>
    <t>C. Corrective Actions Register (ISO 42001 Clause 10.1)</t>
  </si>
  <si>
    <t>CA-001 format</t>
  </si>
  <si>
    <t>Description of corrective action required</t>
  </si>
  <si>
    <t>AUDIT-ID / INC-ID / MR-ID / KRI-ID that raised it</t>
  </si>
  <si>
    <t>Why the issue occurred (root cause)</t>
  </si>
  <si>
    <t>Person responsible for closure</t>
  </si>
  <si>
    <t>dd/mm/yyyy target close date</t>
  </si>
  <si>
    <t>Not Started / In Progress / Closed / Overdue</t>
  </si>
  <si>
    <t>Auto-calc: Target minus TODAY (use formula)</t>
  </si>
  <si>
    <t>Due at MR-YYYY-QN / Confirmed effective</t>
  </si>
  <si>
    <t>Source audit, incident, or review ID</t>
  </si>
  <si>
    <t>CTL-ID or Clause reference affected</t>
  </si>
  <si>
    <t>High / Medium / Low</t>
  </si>
  <si>
    <t>Metrics Calculation Guide - Data Entry Form</t>
  </si>
  <si>
    <t>One row per metric. Document the formula logic, data source, thresholds, assumptions and interpretation notes.</t>
  </si>
  <si>
    <t>KPI-001 or KRI-001 format</t>
  </si>
  <si>
    <t>Name of the metric being documented</t>
  </si>
  <si>
    <t>How the metric is calculated (formula or logic description)</t>
  </si>
  <si>
    <t>Which sheet(s) provide the source data</t>
  </si>
  <si>
    <t>Green/Amber/Red threshold definitions</t>
  </si>
  <si>
    <t>What must be true for this metric to be valid</t>
  </si>
  <si>
    <t>Known limitations or edge cases</t>
  </si>
  <si>
    <t>How to read and act on this metric</t>
  </si>
  <si>
    <t>Reference Data - Dropdown Lists and Validation Values</t>
  </si>
  <si>
    <t>Each column is an independent lookup list. Add values below headers. These feed dropdown validations across all other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</si>
</sst>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quot;m&quot;"/>
    <numFmt numFmtId="165" formatCode="0.0"/>
    <numFmt numFmtId="166" formatCode="\£#,##0&quot;k&quot;"/>
    <numFmt numFmtId="167" formatCode="\£#,##0&quot;k&quot;;[Red]\(\£#,##0&quot;k&quot;\)"/>
    <numFmt numFmtId="168" formatCode="0&quot; days&quot;"/>
    <numFmt numFmtId="169" formatCode="\£#,##0;[Red]\(\£#,##0\)"/>
    <numFmt numFmtId="170" formatCode="\£#,##0"/>
    <numFmt numFmtId="171" formatCode="0.0%"/>
    <numFmt numFmtId="172" formatCode="[$£-809]#,##0.0"/>
    <numFmt numFmtId="173" formatCode="[$£-809]#,##0"/>
  </numFmts>
  <fonts count="88">
    <font>
      <sz val="11"/>
      <color theme="1"/>
      <name val="Calibri"/>
      <scheme val="minor"/>
    </font>
    <font>
      <b/>
      <sz val="16"/>
      <color rgb="FFFFFFFF"/>
      <name val="Aptos Narrow"/>
    </font>
    <font>
      <i/>
      <sz val="10"/>
      <name val="Aptos Narrow"/>
    </font>
    <font>
      <sz val="10"/>
      <color rgb="FF0563C1"/>
      <name val="Aptos Narrow"/>
    </font>
    <font>
      <b/>
      <sz val="13"/>
      <color rgb="FFFFFFFF"/>
      <name val="Aptos Narrow"/>
    </font>
    <font>
      <b/>
      <sz val="10"/>
      <color rgb="FFFFFFFF"/>
      <name val="Aptos Narrow"/>
    </font>
    <font>
      <sz val="9"/>
      <name val="Aptos Narrow"/>
    </font>
    <font>
      <b/>
      <sz val="9"/>
      <name val="Aptos Narrow"/>
    </font>
    <font>
      <i/>
      <sz val="9"/>
      <name val="Aptos Narrow"/>
    </font>
    <font>
      <b/>
      <sz val="14"/>
      <color rgb="FFFFFFFF"/>
      <name val="Calibri"/>
    </font>
    <font>
      <i/>
      <sz val="10"/>
      <name val="Calibri"/>
    </font>
    <font>
      <sz val="10"/>
      <color rgb="FF0563C1"/>
      <name val="Calibri"/>
    </font>
    <font>
      <b/>
      <sz val="18"/>
      <color rgb="FFFFFFFF"/>
      <name val="Calibri"/>
    </font>
    <font>
      <sz val="11"/>
      <name val="Calibri"/>
      <scheme val="minor"/>
    </font>
    <font>
      <i/>
      <sz val="10"/>
      <color rgb="FF000000"/>
      <name val="Calibri"/>
    </font>
    <font>
      <b/>
      <sz val="12"/>
      <color rgb="FFFFFFFF"/>
      <name val="Calibri"/>
    </font>
    <font>
      <b/>
      <sz val="10"/>
      <color rgb="FFFFFFFF"/>
      <name val="Calibri"/>
    </font>
    <font>
      <b/>
      <sz val="22"/>
      <color rgb="FF1F3864"/>
      <name val="Calibri"/>
    </font>
    <font>
      <i/>
      <sz val="9"/>
      <color rgb="FF595959"/>
      <name val="Calibri"/>
    </font>
    <font>
      <sz val="10"/>
      <name val="Calibri"/>
    </font>
    <font>
      <b/>
      <sz val="10"/>
      <color rgb="FF000000"/>
      <name val="Calibri"/>
    </font>
    <font>
      <sz val="11"/>
      <name val="Calibri"/>
    </font>
    <font>
      <b/>
      <sz val="12"/>
      <color rgb="FFFFFFFF"/>
      <name val="Aptos Narrow"/>
    </font>
    <font>
      <sz val="10"/>
      <name val="Aptos Narrow"/>
    </font>
    <font>
      <b/>
      <sz val="10"/>
      <color rgb="FF000000"/>
      <name val="Aptos Narrow"/>
    </font>
    <font>
      <i/>
      <sz val="11"/>
      <name val="Aptos Narrow"/>
    </font>
    <font>
      <b/>
      <sz val="22"/>
      <color rgb="FF1F3864"/>
      <name val="Aptos Narrow"/>
    </font>
    <font>
      <i/>
      <sz val="9"/>
      <color rgb="FF595959"/>
      <name val="Aptos Narrow"/>
    </font>
    <font>
      <b/>
      <sz val="14"/>
      <color rgb="FFFFFFFF"/>
      <name val="Aptos Narrow"/>
    </font>
    <font>
      <b/>
      <sz val="10"/>
      <name val="Aptos Narrow"/>
    </font>
    <font>
      <sz val="10"/>
      <color rgb="FF000000"/>
      <name val="Aptos Narrow"/>
    </font>
    <font>
      <b/>
      <sz val="11"/>
      <color rgb="FFFFFFFF"/>
      <name val="Aptos Narrow"/>
    </font>
    <font>
      <b/>
      <sz val="11"/>
      <color rgb="FFFFFFFF"/>
      <name val="Calibri"/>
    </font>
    <font>
      <b/>
      <sz val="10"/>
      <name val="Calibri"/>
    </font>
    <font>
      <b/>
      <sz val="10"/>
      <color rgb="FF006100"/>
      <name val="Calibri"/>
    </font>
    <font>
      <b/>
      <sz val="10"/>
      <color rgb="FF9C5700"/>
      <name val="Calibri"/>
    </font>
    <font>
      <i/>
      <sz val="10"/>
      <color rgb="FF000000"/>
      <name val="Aptos Narrow"/>
    </font>
    <font>
      <b/>
      <sz val="11"/>
      <name val="Calibri"/>
    </font>
    <font>
      <sz val="10"/>
      <color rgb="FF000000"/>
      <name val="Calibri"/>
    </font>
    <font>
      <sz val="10"/>
      <color rgb="FF0563C1"/>
      <name val="underline 'Aptos Narrow'"/>
    </font>
    <font>
      <b/>
      <sz val="18"/>
      <color rgb="FFFFFFFF"/>
      <name val="Calibri"/>
      <scheme val="minor"/>
    </font>
    <font>
      <sz val="10"/>
      <color theme="1"/>
      <name val="Calibri"/>
      <scheme val="minor"/>
    </font>
    <font>
      <i/>
      <sz val="10"/>
      <color theme="1"/>
      <name val="Calibri"/>
      <scheme val="minor"/>
    </font>
    <font>
      <i/>
      <sz val="10"/>
      <color rgb="FF404040"/>
      <name val="Calibri"/>
      <scheme val="minor"/>
    </font>
    <font>
      <sz val="9"/>
      <color rgb="FF2F5597"/>
      <name val="Calibri"/>
      <scheme val="minor"/>
    </font>
    <font>
      <b/>
      <sz val="14"/>
      <color theme="1"/>
      <name val="Calibri"/>
      <scheme val="minor"/>
    </font>
    <font>
      <b/>
      <sz val="14"/>
      <color rgb="FF1F3864"/>
      <name val="Calibri"/>
      <scheme val="minor"/>
    </font>
    <font>
      <b/>
      <sz val="9"/>
      <color rgb="FF404040"/>
      <name val="Calibri"/>
      <scheme val="minor"/>
    </font>
    <font>
      <b/>
      <sz val="28"/>
      <color theme="1"/>
      <name val="Calibri"/>
      <scheme val="minor"/>
    </font>
    <font>
      <i/>
      <sz val="8"/>
      <color rgb="FF808080"/>
      <name val="Calibri"/>
      <scheme val="minor"/>
    </font>
    <font>
      <b/>
      <sz val="10"/>
      <color theme="1"/>
      <name val="Calibri"/>
      <scheme val="minor"/>
    </font>
    <font>
      <b/>
      <sz val="10"/>
      <color rgb="FFFFFFFF"/>
      <name val="Calibri"/>
      <scheme val="minor"/>
    </font>
    <font>
      <sz val="10"/>
      <color rgb="FF9C6500"/>
      <name val="Calibri"/>
      <scheme val="minor"/>
    </font>
    <font>
      <sz val="10"/>
      <color rgb="FF006100"/>
      <name val="Calibri"/>
      <scheme val="minor"/>
    </font>
    <font>
      <b/>
      <sz val="11"/>
      <color theme="1"/>
      <name val="Calibri"/>
      <scheme val="minor"/>
    </font>
    <font>
      <sz val="10"/>
      <color rgb="FF9C0006"/>
      <name val="Calibri"/>
      <scheme val="minor"/>
    </font>
    <font>
      <b/>
      <sz val="24"/>
      <color theme="1"/>
      <name val="Calibri"/>
      <scheme val="minor"/>
    </font>
    <font>
      <sz val="10"/>
      <color rgb="FF333333"/>
      <name val="Calibri"/>
      <scheme val="minor"/>
    </font>
    <font>
      <b/>
      <sz val="11"/>
      <color rgb="FF2F5597"/>
      <name val="Calibri"/>
      <scheme val="minor"/>
    </font>
    <font>
      <b/>
      <sz val="10"/>
      <color rgb="FF2F5597"/>
      <name val="Calibri"/>
      <scheme val="minor"/>
    </font>
    <font>
      <b/>
      <sz val="24"/>
      <color rgb="FF006100"/>
      <name val="Calibri"/>
      <scheme val="minor"/>
    </font>
    <font>
      <b/>
      <sz val="24"/>
      <color rgb="FF9C6500"/>
      <name val="Calibri"/>
      <scheme val="minor"/>
    </font>
    <font>
      <b/>
      <sz val="24"/>
      <color rgb="FF9C0006"/>
      <name val="Calibri"/>
      <scheme val="minor"/>
    </font>
    <font>
      <b/>
      <sz val="24"/>
      <color rgb="FF1F3864"/>
      <name val="Calibri"/>
      <scheme val="minor"/>
    </font>
    <font>
      <i/>
      <sz val="9"/>
      <color theme="1"/>
      <name val="Calibri"/>
      <scheme val="minor"/>
    </font>
    <font>
      <i/>
      <sz val="9"/>
      <color rgb="FF808080"/>
      <name val="Calibri"/>
      <scheme val="minor"/>
    </font>
    <font>
      <i/>
      <sz val="9"/>
      <color rgb="FFFFFFFF"/>
      <name val="Calibri"/>
      <scheme val="minor"/>
    </font>
    <font>
      <sz val="8"/>
      <color rgb="FF808080"/>
      <name val="Calibri"/>
      <scheme val="minor"/>
    </font>
    <font>
      <b/>
      <sz val="16"/>
      <color rgb="FFFFFFFF"/>
      <name val="Calibri"/>
      <scheme val="minor"/>
    </font>
    <font>
      <b/>
      <sz val="13"/>
      <color rgb="FF1F3864"/>
      <name val="Calibri"/>
      <scheme val="minor"/>
    </font>
    <font>
      <b/>
      <sz val="22"/>
      <color theme="1"/>
      <name val="Calibri"/>
      <scheme val="minor"/>
    </font>
    <font>
      <sz val="9"/>
      <color rgb="FFFFFFFF"/>
      <name val="Calibri"/>
      <scheme val="minor"/>
    </font>
    <font>
      <sz val="11"/>
      <color rgb="FF333333"/>
      <name val="Calibri"/>
      <scheme val="minor"/>
    </font>
    <font>
      <sz val="11"/>
      <color rgb="FF000000"/>
      <name val="Calibri"/>
      <scheme val="minor"/>
    </font>
    <font>
      <sz val="10"/>
      <color rgb="FF000000"/>
      <name val="Calibri"/>
      <scheme val="minor"/>
    </font>
    <font>
      <sz val="11"/>
      <color rgb="FF000000"/>
      <name val="Calibri"/>
    </font>
    <font>
      <b/>
      <sz val="16"/>
      <color rgb="FFFFFFFF"/>
      <name val="Calibri"/>
    </font>
    <font>
      <i/>
      <sz val="10"/>
      <color rgb="FF404040"/>
      <name val="Calibri"/>
    </font>
    <font>
      <sz val="9"/>
      <color rgb="FF2F5597"/>
      <name val="Calibri"/>
    </font>
    <font>
      <b/>
      <sz val="13"/>
      <color rgb="FF1F3864"/>
      <name val="Calibri"/>
    </font>
    <font>
      <sz val="11"/>
      <color rgb="FF333333"/>
      <name val="Calibri"/>
    </font>
    <font>
      <b/>
      <sz val="10"/>
      <color rgb="FF1F3864"/>
      <name val="Calibri"/>
    </font>
    <font>
      <sz val="10"/>
      <color rgb="FF333333"/>
      <name val="Calibri"/>
    </font>
    <font>
      <b/>
      <sz val="11"/>
      <color rgb="FF333333"/>
      <name val="Calibri"/>
    </font>
    <font>
      <b/>
      <sz val="11"/>
      <color rgb="FFFFFFFF"/>
      <name val="Calibri"/>
      <scheme val="minor"/>
    </font>
    <font>
      <b/>
      <sz val="14"/>
      <color rgb="FFFFFFFF"/>
      <name val="Calibri"/>
      <scheme val="minor"/>
    </font>
    <font>
      <i/>
      <sz val="8"/>
      <color rgb="FF2F5597"/>
      <name val="Calibri"/>
      <scheme val="minor"/>
    </font>
    <font>
      <b/>
      <sz val="12"/>
      <color rgb="FF1F3864"/>
      <name val="Calibri"/>
      <scheme val="minor"/>
    </font>
  </fonts>
  <fills count="40">
    <fill>
      <patternFill patternType="none"/>
    </fill>
    <fill>
      <patternFill patternType="gray125"/>
    </fill>
    <fill>
      <patternFill patternType="solid">
        <fgColor rgb="FF1F3864"/>
      </patternFill>
    </fill>
    <fill>
      <patternFill patternType="solid">
        <fgColor rgb="FFD9E1F2"/>
      </patternFill>
    </fill>
    <fill>
      <patternFill patternType="solid">
        <fgColor rgb="FF4472C4"/>
      </patternFill>
    </fill>
    <fill>
      <patternFill patternType="solid">
        <fgColor rgb="FFFFFFFF"/>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C000"/>
      </patternFill>
    </fill>
    <fill>
      <patternFill patternType="solid">
        <fgColor rgb="FF00B050"/>
      </patternFill>
    </fill>
    <fill>
      <patternFill patternType="solid">
        <fgColor rgb="FFC00000"/>
      </patternFill>
    </fill>
    <fill>
      <patternFill patternType="solid">
        <fgColor rgb="FFF4B084"/>
      </patternFill>
    </fill>
    <fill>
      <patternFill patternType="solid">
        <fgColor rgb="FFD6EEEE"/>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
      <patternFill patternType="solid">
        <fgColor rgb="FFE4DFEC"/>
      </patternFill>
    </fill>
    <fill>
      <patternFill patternType="solid">
        <fgColor rgb="FFED7D31"/>
      </patternFill>
    </fill>
    <fill>
      <patternFill patternType="solid">
        <fgColor rgb="FFFBE5D6"/>
      </patternFill>
    </fill>
    <fill>
      <patternFill patternType="solid">
        <fgColor rgb="FFEDEDED"/>
      </patternFill>
    </fill>
    <fill>
      <patternFill patternType="solid">
        <fgColor rgb="FFEEF1D5"/>
      </patternFill>
    </fill>
    <fill>
      <patternFill patternType="solid">
        <fgColor rgb="FFFCE4EC"/>
      </patternFill>
    </fill>
    <fill>
      <patternFill patternType="solid">
        <fgColor rgb="FFD9D9D9"/>
      </patternFill>
    </fill>
    <fill>
      <patternFill patternType="solid">
        <fgColor rgb="FFF8CBAD"/>
      </patternFill>
    </fill>
    <fill>
      <patternFill patternType="solid">
        <fgColor rgb="FFFFE699"/>
      </patternFill>
    </fill>
    <fill>
      <patternFill patternType="solid">
        <fgColor rgb="FF1F3864"/>
        <bgColor indexed="64"/>
      </patternFill>
    </fill>
    <fill>
      <patternFill patternType="solid">
        <fgColor rgb="FFD6E4F0"/>
        <bgColor indexed="64"/>
      </patternFill>
    </fill>
    <fill>
      <patternFill patternType="solid">
        <fgColor rgb="FFF2F2F2"/>
        <bgColor indexed="64"/>
      </patternFill>
    </fill>
    <fill>
      <patternFill patternType="solid">
        <fgColor rgb="FFF8FAFD"/>
        <bgColor indexed="64"/>
      </patternFill>
    </fill>
    <fill>
      <patternFill patternType="solid">
        <fgColor rgb="FFC6EFCE"/>
        <bgColor indexed="64"/>
      </patternFill>
    </fill>
    <fill>
      <patternFill patternType="solid">
        <fgColor rgb="FFFFEB9C"/>
        <bgColor indexed="64"/>
      </patternFill>
    </fill>
    <fill>
      <patternFill patternType="solid">
        <fgColor rgb="FF2F5597"/>
        <bgColor indexed="64"/>
      </patternFill>
    </fill>
    <fill>
      <patternFill patternType="solid">
        <fgColor rgb="FFF2F7FB"/>
        <bgColor indexed="64"/>
      </patternFill>
    </fill>
    <fill>
      <patternFill patternType="solid">
        <fgColor rgb="FFFFC7CE"/>
        <bgColor indexed="64"/>
      </patternFill>
    </fill>
    <fill>
      <patternFill patternType="solid">
        <fgColor rgb="FFFFF2CC"/>
        <bgColor indexed="64"/>
      </patternFill>
    </fill>
    <fill>
      <patternFill patternType="solid">
        <fgColor rgb="FFC00000"/>
        <bgColor indexed="64"/>
      </patternFill>
    </fill>
    <fill>
      <patternFill patternType="solid">
        <fgColor rgb="FFE8F0FE"/>
        <bgColor indexed="64"/>
      </patternFill>
    </fill>
  </fills>
  <borders count="44">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style="thin">
        <color rgb="FF0563C1"/>
      </bottom>
      <diagonal/>
    </border>
    <border>
      <left style="thick">
        <color rgb="FFBFBFBF"/>
      </left>
      <right style="thick">
        <color rgb="FFBFBFBF"/>
      </right>
      <top style="thick">
        <color rgb="FFBFBFBF"/>
      </top>
      <bottom style="thick">
        <color rgb="FFBFBFBF"/>
      </bottom>
      <diagonal/>
    </border>
    <border>
      <left style="thin">
        <color rgb="FFBFBFBF"/>
      </left>
      <right style="thin">
        <color rgb="FFBFBFBF"/>
      </right>
      <top style="thick">
        <color rgb="FF000000"/>
      </top>
      <bottom style="thick">
        <color rgb="FF000000"/>
      </bottom>
      <diagonal/>
    </border>
    <border>
      <left style="thin">
        <color rgb="FFBFBFBF"/>
      </left>
      <right style="thin">
        <color rgb="FFBFBFBF"/>
      </right>
      <top style="double">
        <color rgb="FF000000"/>
      </top>
      <bottom style="thin">
        <color rgb="FFBFBFBF"/>
      </bottom>
      <diagonal/>
    </border>
    <border>
      <left/>
      <right/>
      <top style="thin">
        <color rgb="FFB4C6E7"/>
      </top>
      <bottom/>
      <diagonal/>
    </border>
    <border>
      <left/>
      <right/>
      <top/>
      <bottom style="thin">
        <color rgb="FFB4C6E7"/>
      </bottom>
      <diagonal/>
    </border>
    <border>
      <left style="thin">
        <color rgb="FFB4C6E7"/>
      </left>
      <right/>
      <top style="thin">
        <color rgb="FFB4C6E7"/>
      </top>
      <bottom/>
      <diagonal/>
    </border>
    <border>
      <left style="thin">
        <color rgb="FFB4C6E7"/>
      </left>
      <right/>
      <top/>
      <bottom/>
      <diagonal/>
    </border>
    <border>
      <left style="thin">
        <color rgb="FFB4C6E7"/>
      </left>
      <right/>
      <top/>
      <bottom style="thin">
        <color rgb="FFB4C6E7"/>
      </bottom>
      <diagonal/>
    </border>
    <border>
      <left/>
      <right style="thin">
        <color rgb="FFB4C6E7"/>
      </right>
      <top style="thin">
        <color rgb="FFB4C6E7"/>
      </top>
      <bottom/>
      <diagonal/>
    </border>
    <border>
      <left/>
      <right style="thin">
        <color rgb="FFB4C6E7"/>
      </right>
      <top/>
      <bottom/>
      <diagonal/>
    </border>
    <border>
      <left/>
      <right style="thin">
        <color rgb="FFB4C6E7"/>
      </right>
      <top/>
      <bottom style="thin">
        <color rgb="FFB4C6E7"/>
      </bottom>
      <diagonal/>
    </border>
    <border>
      <left style="thin">
        <color rgb="FFB4C6E7"/>
      </left>
      <right/>
      <top style="thin">
        <color rgb="FFB4C6E7"/>
      </top>
      <bottom style="hair">
        <color rgb="FFD9D9D9"/>
      </bottom>
      <diagonal/>
    </border>
    <border>
      <left/>
      <right/>
      <top style="thin">
        <color rgb="FFB4C6E7"/>
      </top>
      <bottom style="hair">
        <color rgb="FFD9D9D9"/>
      </bottom>
      <diagonal/>
    </border>
    <border>
      <left/>
      <right style="thin">
        <color rgb="FFB4C6E7"/>
      </right>
      <top style="thin">
        <color rgb="FFB4C6E7"/>
      </top>
      <bottom style="hair">
        <color rgb="FFD9D9D9"/>
      </bottom>
      <diagonal/>
    </border>
    <border>
      <left style="thin">
        <color rgb="FFB4C6E7"/>
      </left>
      <right/>
      <top style="hair">
        <color rgb="FFD9D9D9"/>
      </top>
      <bottom style="hair">
        <color rgb="FFD9D9D9"/>
      </bottom>
      <diagonal/>
    </border>
    <border>
      <left/>
      <right/>
      <top style="hair">
        <color rgb="FFD9D9D9"/>
      </top>
      <bottom style="hair">
        <color rgb="FFD9D9D9"/>
      </bottom>
      <diagonal/>
    </border>
    <border>
      <left/>
      <right style="thin">
        <color rgb="FFB4C6E7"/>
      </right>
      <top style="hair">
        <color rgb="FFD9D9D9"/>
      </top>
      <bottom style="hair">
        <color rgb="FFD9D9D9"/>
      </bottom>
      <diagonal/>
    </border>
    <border>
      <left style="thin">
        <color rgb="FFB4C6E7"/>
      </left>
      <right/>
      <top style="hair">
        <color rgb="FFD9D9D9"/>
      </top>
      <bottom style="thin">
        <color rgb="FFB4C6E7"/>
      </bottom>
      <diagonal/>
    </border>
    <border>
      <left/>
      <right/>
      <top style="hair">
        <color rgb="FFD9D9D9"/>
      </top>
      <bottom style="thin">
        <color rgb="FFB4C6E7"/>
      </bottom>
      <diagonal/>
    </border>
    <border>
      <left/>
      <right style="thin">
        <color rgb="FFB4C6E7"/>
      </right>
      <top style="hair">
        <color rgb="FFD9D9D9"/>
      </top>
      <bottom style="thin">
        <color rgb="FFB4C6E7"/>
      </bottom>
      <diagonal/>
    </border>
    <border>
      <left/>
      <right/>
      <top style="thin">
        <color rgb="FFBF9000"/>
      </top>
      <bottom/>
      <diagonal/>
    </border>
    <border>
      <left/>
      <right/>
      <top/>
      <bottom style="thin">
        <color rgb="FFBF9000"/>
      </bottom>
      <diagonal/>
    </border>
    <border>
      <left style="thin">
        <color rgb="FFBF9000"/>
      </left>
      <right/>
      <top style="thin">
        <color rgb="FFBF9000"/>
      </top>
      <bottom/>
      <diagonal/>
    </border>
    <border>
      <left style="thin">
        <color rgb="FFBF9000"/>
      </left>
      <right/>
      <top/>
      <bottom style="thin">
        <color rgb="FFBF9000"/>
      </bottom>
      <diagonal/>
    </border>
    <border>
      <left/>
      <right style="thin">
        <color rgb="FFBF9000"/>
      </right>
      <top style="thin">
        <color rgb="FFBF9000"/>
      </top>
      <bottom/>
      <diagonal/>
    </border>
    <border>
      <left/>
      <right style="thin">
        <color rgb="FFBF9000"/>
      </right>
      <top/>
      <bottom style="thin">
        <color rgb="FFBF9000"/>
      </bottom>
      <diagonal/>
    </border>
    <border>
      <left style="thin">
        <color rgb="FFB4C6E7"/>
      </left>
      <right style="hair">
        <color rgb="FFD9D9D9"/>
      </right>
      <top style="thin">
        <color rgb="FFB4C6E7"/>
      </top>
      <bottom style="hair">
        <color rgb="FFD9D9D9"/>
      </bottom>
      <diagonal/>
    </border>
    <border>
      <left style="hair">
        <color rgb="FFD9D9D9"/>
      </left>
      <right style="hair">
        <color rgb="FFD9D9D9"/>
      </right>
      <top style="thin">
        <color rgb="FFB4C6E7"/>
      </top>
      <bottom style="hair">
        <color rgb="FFD9D9D9"/>
      </bottom>
      <diagonal/>
    </border>
    <border>
      <left style="hair">
        <color rgb="FFD9D9D9"/>
      </left>
      <right style="thin">
        <color rgb="FFB4C6E7"/>
      </right>
      <top style="thin">
        <color rgb="FFB4C6E7"/>
      </top>
      <bottom style="hair">
        <color rgb="FFD9D9D9"/>
      </bottom>
      <diagonal/>
    </border>
    <border>
      <left style="thin">
        <color rgb="FFB4C6E7"/>
      </left>
      <right style="hair">
        <color rgb="FFD9D9D9"/>
      </right>
      <top style="hair">
        <color rgb="FFD9D9D9"/>
      </top>
      <bottom style="hair">
        <color rgb="FFD9D9D9"/>
      </bottom>
      <diagonal/>
    </border>
    <border>
      <left style="hair">
        <color rgb="FFD9D9D9"/>
      </left>
      <right style="hair">
        <color rgb="FFD9D9D9"/>
      </right>
      <top style="hair">
        <color rgb="FFD9D9D9"/>
      </top>
      <bottom style="hair">
        <color rgb="FFD9D9D9"/>
      </bottom>
      <diagonal/>
    </border>
    <border>
      <left style="hair">
        <color rgb="FFD9D9D9"/>
      </left>
      <right style="thin">
        <color rgb="FFB4C6E7"/>
      </right>
      <top style="hair">
        <color rgb="FFD9D9D9"/>
      </top>
      <bottom style="hair">
        <color rgb="FFD9D9D9"/>
      </bottom>
      <diagonal/>
    </border>
    <border>
      <left style="thin">
        <color rgb="FFB4C6E7"/>
      </left>
      <right style="hair">
        <color rgb="FFD9D9D9"/>
      </right>
      <top style="hair">
        <color rgb="FFD9D9D9"/>
      </top>
      <bottom style="thin">
        <color rgb="FFB4C6E7"/>
      </bottom>
      <diagonal/>
    </border>
    <border>
      <left style="hair">
        <color rgb="FFD9D9D9"/>
      </left>
      <right style="hair">
        <color rgb="FFD9D9D9"/>
      </right>
      <top style="hair">
        <color rgb="FFD9D9D9"/>
      </top>
      <bottom style="thin">
        <color rgb="FFB4C6E7"/>
      </bottom>
      <diagonal/>
    </border>
    <border>
      <left style="hair">
        <color rgb="FFD9D9D9"/>
      </left>
      <right style="thin">
        <color rgb="FFB4C6E7"/>
      </right>
      <top style="hair">
        <color rgb="FFD9D9D9"/>
      </top>
      <bottom style="thin">
        <color rgb="FFB4C6E7"/>
      </bottom>
      <diagonal/>
    </border>
    <border>
      <left/>
      <right/>
      <top/>
      <bottom style="thin">
        <color rgb="FF2F5597"/>
      </bottom>
      <diagonal/>
    </border>
    <border>
      <left/>
      <right/>
      <top style="thin">
        <color rgb="FF2F5597"/>
      </top>
      <bottom/>
      <diagonal/>
    </border>
    <border>
      <left style="thin">
        <color rgb="FFB4C6E7"/>
      </left>
      <right style="hair">
        <color rgb="FFD9D9D9"/>
      </right>
      <top style="hair">
        <color rgb="FFD9D9D9"/>
      </top>
      <bottom/>
      <diagonal/>
    </border>
    <border>
      <left style="hair">
        <color rgb="FFD9D9D9"/>
      </left>
      <right style="hair">
        <color rgb="FFD9D9D9"/>
      </right>
      <top style="hair">
        <color rgb="FFD9D9D9"/>
      </top>
      <bottom/>
      <diagonal/>
    </border>
    <border>
      <left style="hair">
        <color rgb="FFD9D9D9"/>
      </left>
      <right style="thin">
        <color rgb="FFB4C6E7"/>
      </right>
      <top style="hair">
        <color rgb="FFD9D9D9"/>
      </top>
      <bottom/>
      <diagonal/>
    </border>
  </borders>
  <cellStyleXfs count="1">
    <xf numFmtId="0" fontId="0" fillId="0" borderId="1">
      <alignment vertical="top"/>
    </xf>
  </cellStyleXfs>
  <cellXfs count="598">
    <xf numFmtId="0" fontId="0" fillId="0" borderId="1" xfId="0">
      <alignment vertical="top"/>
    </xf>
    <xf numFmtId="0" fontId="3"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6" fillId="5" borderId="2" xfId="0" applyFont="1" applyFill="1" applyBorder="1" applyAlignment="1">
      <alignment horizontal="left" vertical="center"/>
    </xf>
    <xf numFmtId="0" fontId="6" fillId="6" borderId="2" xfId="0" applyFont="1" applyFill="1" applyBorder="1" applyAlignment="1">
      <alignment horizontal="left" vertical="center"/>
    </xf>
    <xf numFmtId="0" fontId="7" fillId="7" borderId="2" xfId="0" applyFont="1" applyFill="1" applyBorder="1" applyAlignment="1">
      <alignment horizontal="center" vertical="center"/>
    </xf>
    <xf numFmtId="0" fontId="7"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6" borderId="2" xfId="0" applyFont="1" applyFill="1" applyBorder="1" applyAlignment="1">
      <alignment horizontal="center" vertical="center"/>
    </xf>
    <xf numFmtId="0" fontId="11" fillId="0" borderId="0" xfId="0" applyFont="1" applyBorder="1">
      <alignment vertical="top"/>
    </xf>
    <xf numFmtId="0" fontId="3" fillId="0" borderId="3" xfId="0" applyFont="1" applyBorder="1">
      <alignment vertical="top"/>
    </xf>
    <xf numFmtId="0" fontId="13" fillId="0" borderId="0" xfId="0" applyFont="1" applyBorder="1">
      <alignment vertical="top"/>
    </xf>
    <xf numFmtId="0" fontId="11" fillId="0" borderId="0" xfId="0" applyFont="1" applyBorder="1" applyAlignment="1">
      <alignment horizontal="left" vertical="top"/>
    </xf>
    <xf numFmtId="0" fontId="16" fillId="4" borderId="0" xfId="0" applyFont="1" applyFill="1" applyBorder="1" applyAlignment="1">
      <alignment horizontal="center" vertical="center"/>
    </xf>
    <xf numFmtId="0" fontId="19" fillId="0" borderId="2" xfId="0" applyFont="1" applyBorder="1" applyAlignment="1">
      <alignment vertical="center"/>
    </xf>
    <xf numFmtId="0" fontId="19" fillId="0" borderId="2" xfId="0" applyFont="1" applyBorder="1" applyAlignment="1">
      <alignment horizontal="center" vertical="center"/>
    </xf>
    <xf numFmtId="164" fontId="19" fillId="0" borderId="2" xfId="0" applyNumberFormat="1" applyFont="1" applyBorder="1" applyAlignment="1">
      <alignment horizontal="center" vertical="center"/>
    </xf>
    <xf numFmtId="0" fontId="19" fillId="6" borderId="2" xfId="0" applyFont="1" applyFill="1" applyBorder="1" applyAlignment="1">
      <alignment vertical="center"/>
    </xf>
    <xf numFmtId="0" fontId="19" fillId="6" borderId="2" xfId="0" applyFont="1" applyFill="1" applyBorder="1" applyAlignment="1">
      <alignment horizontal="center" vertical="center"/>
    </xf>
    <xf numFmtId="164" fontId="19" fillId="6" borderId="2" xfId="0" applyNumberFormat="1" applyFont="1" applyFill="1" applyBorder="1" applyAlignment="1">
      <alignment horizontal="center" vertical="center"/>
    </xf>
    <xf numFmtId="14" fontId="19" fillId="0" borderId="2" xfId="0" applyNumberFormat="1" applyFont="1" applyBorder="1" applyAlignment="1">
      <alignment vertical="center"/>
    </xf>
    <xf numFmtId="0" fontId="20" fillId="10" borderId="2" xfId="0" applyFont="1" applyFill="1" applyBorder="1" applyAlignment="1">
      <alignment horizontal="center" vertical="center"/>
    </xf>
    <xf numFmtId="14" fontId="19" fillId="6" borderId="2" xfId="0" applyNumberFormat="1" applyFont="1" applyFill="1" applyBorder="1" applyAlignment="1">
      <alignment vertical="center"/>
    </xf>
    <xf numFmtId="0" fontId="19" fillId="7" borderId="2" xfId="0" applyFont="1" applyFill="1" applyBorder="1" applyAlignment="1">
      <alignment horizontal="center" vertical="center"/>
    </xf>
    <xf numFmtId="0" fontId="16" fillId="11" borderId="2" xfId="0" applyFont="1" applyFill="1" applyBorder="1" applyAlignment="1">
      <alignment horizontal="center" vertical="center"/>
    </xf>
    <xf numFmtId="0" fontId="19" fillId="8" borderId="2" xfId="0" applyFont="1" applyFill="1" applyBorder="1" applyAlignment="1">
      <alignment horizontal="center" vertical="center"/>
    </xf>
    <xf numFmtId="0" fontId="11" fillId="3" borderId="2" xfId="0" applyFont="1" applyFill="1" applyBorder="1" applyAlignment="1">
      <alignment horizontal="center" vertical="center"/>
    </xf>
    <xf numFmtId="0" fontId="23" fillId="0" borderId="2" xfId="0" applyFont="1" applyBorder="1" applyAlignment="1">
      <alignment horizontal="left" vertical="center"/>
    </xf>
    <xf numFmtId="0" fontId="23" fillId="0" borderId="2" xfId="0" applyFont="1" applyBorder="1" applyAlignment="1">
      <alignment horizontal="center" vertical="center"/>
    </xf>
    <xf numFmtId="164" fontId="23" fillId="0" borderId="2" xfId="0" applyNumberFormat="1" applyFont="1" applyBorder="1" applyAlignment="1">
      <alignment horizontal="center" vertical="center"/>
    </xf>
    <xf numFmtId="0" fontId="23" fillId="6" borderId="2" xfId="0" applyFont="1" applyFill="1" applyBorder="1" applyAlignment="1">
      <alignment horizontal="left" vertical="center"/>
    </xf>
    <xf numFmtId="0" fontId="23" fillId="6" borderId="2" xfId="0" applyFont="1" applyFill="1" applyBorder="1" applyAlignment="1">
      <alignment horizontal="center" vertical="center"/>
    </xf>
    <xf numFmtId="164" fontId="23" fillId="6" borderId="2" xfId="0" applyNumberFormat="1" applyFont="1" applyFill="1" applyBorder="1" applyAlignment="1">
      <alignment horizontal="center" vertical="center"/>
    </xf>
    <xf numFmtId="0" fontId="24" fillId="10" borderId="2" xfId="0" applyFont="1" applyFill="1" applyBorder="1" applyAlignment="1">
      <alignment horizontal="center" vertical="center"/>
    </xf>
    <xf numFmtId="0" fontId="5" fillId="12" borderId="2" xfId="0" applyFont="1" applyFill="1" applyBorder="1" applyAlignment="1">
      <alignment horizontal="center" vertical="center"/>
    </xf>
    <xf numFmtId="0" fontId="23" fillId="0" borderId="2" xfId="0" applyFont="1" applyBorder="1" applyAlignment="1">
      <alignment vertical="center"/>
    </xf>
    <xf numFmtId="14" fontId="23" fillId="0" borderId="2" xfId="0" applyNumberFormat="1" applyFont="1" applyBorder="1" applyAlignment="1">
      <alignment vertical="center"/>
    </xf>
    <xf numFmtId="14" fontId="13" fillId="0" borderId="0" xfId="0" applyNumberFormat="1" applyFont="1" applyBorder="1">
      <alignment vertical="top"/>
    </xf>
    <xf numFmtId="0" fontId="23" fillId="6" borderId="2" xfId="0" applyFont="1" applyFill="1" applyBorder="1" applyAlignment="1">
      <alignment vertical="center"/>
    </xf>
    <xf numFmtId="14" fontId="23" fillId="6" borderId="2" xfId="0" applyNumberFormat="1" applyFont="1" applyFill="1" applyBorder="1" applyAlignment="1">
      <alignment vertical="center"/>
    </xf>
    <xf numFmtId="0" fontId="23" fillId="5" borderId="2" xfId="0" applyFont="1" applyFill="1" applyBorder="1" applyAlignment="1">
      <alignment horizontal="left" vertical="center"/>
    </xf>
    <xf numFmtId="0" fontId="23" fillId="5" borderId="2" xfId="0" applyFont="1" applyFill="1" applyBorder="1" applyAlignment="1">
      <alignment horizontal="center" vertical="center"/>
    </xf>
    <xf numFmtId="0" fontId="13" fillId="0" borderId="2" xfId="0" applyFont="1" applyBorder="1">
      <alignment vertical="top"/>
    </xf>
    <xf numFmtId="0" fontId="3" fillId="0" borderId="0" xfId="0" applyFont="1" applyBorder="1" applyAlignment="1">
      <alignment horizontal="left" vertical="center"/>
    </xf>
    <xf numFmtId="0" fontId="19" fillId="5" borderId="2" xfId="0" applyFont="1" applyFill="1" applyBorder="1" applyAlignment="1">
      <alignment vertical="center"/>
    </xf>
    <xf numFmtId="0" fontId="19" fillId="5" borderId="2" xfId="0" applyFont="1" applyFill="1" applyBorder="1" applyAlignment="1">
      <alignment horizontal="center" vertical="center"/>
    </xf>
    <xf numFmtId="0" fontId="24" fillId="7" borderId="2" xfId="0" applyFont="1" applyFill="1" applyBorder="1" applyAlignment="1">
      <alignment horizontal="center" vertical="center"/>
    </xf>
    <xf numFmtId="0" fontId="30" fillId="8" borderId="2" xfId="0" applyFont="1" applyFill="1" applyBorder="1" applyAlignment="1">
      <alignment horizontal="center" vertical="center"/>
    </xf>
    <xf numFmtId="0" fontId="23" fillId="8" borderId="2" xfId="0" applyFont="1" applyFill="1" applyBorder="1" applyAlignment="1">
      <alignment horizontal="center" vertical="center"/>
    </xf>
    <xf numFmtId="0" fontId="29" fillId="9" borderId="2" xfId="0" applyFont="1" applyFill="1" applyBorder="1" applyAlignment="1">
      <alignment horizontal="center" vertical="center"/>
    </xf>
    <xf numFmtId="0" fontId="13" fillId="6" borderId="2" xfId="0" applyFont="1" applyFill="1" applyBorder="1">
      <alignment vertical="top"/>
    </xf>
    <xf numFmtId="0" fontId="29" fillId="14" borderId="2" xfId="0" applyFont="1" applyFill="1" applyBorder="1" applyAlignment="1">
      <alignment horizontal="center" vertical="center"/>
    </xf>
    <xf numFmtId="0" fontId="29" fillId="15" borderId="2" xfId="0" applyFont="1" applyFill="1" applyBorder="1" applyAlignment="1">
      <alignment horizontal="center" vertical="center"/>
    </xf>
    <xf numFmtId="0" fontId="29" fillId="16" borderId="2" xfId="0" applyFont="1" applyFill="1" applyBorder="1" applyAlignment="1">
      <alignment horizontal="center" vertical="center"/>
    </xf>
    <xf numFmtId="0" fontId="29" fillId="17" borderId="2" xfId="0" applyFont="1" applyFill="1" applyBorder="1" applyAlignment="1">
      <alignment horizontal="center" vertical="center"/>
    </xf>
    <xf numFmtId="0" fontId="29" fillId="18" borderId="2" xfId="0" applyFont="1" applyFill="1" applyBorder="1" applyAlignment="1">
      <alignment horizontal="center" vertical="center"/>
    </xf>
    <xf numFmtId="0" fontId="29" fillId="16" borderId="2" xfId="0" applyFont="1" applyFill="1" applyBorder="1" applyAlignment="1">
      <alignment horizontal="left" vertical="center"/>
    </xf>
    <xf numFmtId="0" fontId="29" fillId="15" borderId="2" xfId="0" applyFont="1" applyFill="1" applyBorder="1" applyAlignment="1">
      <alignment horizontal="left" vertical="center"/>
    </xf>
    <xf numFmtId="0" fontId="29" fillId="17" borderId="2" xfId="0" applyFont="1" applyFill="1" applyBorder="1" applyAlignment="1">
      <alignment horizontal="left" vertical="center"/>
    </xf>
    <xf numFmtId="0" fontId="29" fillId="18" borderId="2" xfId="0" applyFont="1" applyFill="1" applyBorder="1" applyAlignment="1">
      <alignment horizontal="left" vertical="center"/>
    </xf>
    <xf numFmtId="0" fontId="29" fillId="19" borderId="2" xfId="0" applyFont="1" applyFill="1" applyBorder="1" applyAlignment="1">
      <alignment horizontal="left" vertical="center"/>
    </xf>
    <xf numFmtId="0" fontId="29" fillId="5" borderId="2" xfId="0" applyFont="1" applyFill="1" applyBorder="1" applyAlignment="1">
      <alignment horizontal="left" vertical="center"/>
    </xf>
    <xf numFmtId="0" fontId="29" fillId="6" borderId="2" xfId="0" applyFont="1" applyFill="1" applyBorder="1" applyAlignment="1">
      <alignment horizontal="left" vertical="center"/>
    </xf>
    <xf numFmtId="0" fontId="5" fillId="20" borderId="2" xfId="0" applyFont="1" applyFill="1" applyBorder="1" applyAlignment="1">
      <alignment horizontal="center" vertical="center"/>
    </xf>
    <xf numFmtId="0" fontId="5" fillId="2" borderId="2" xfId="0" applyFont="1" applyFill="1" applyBorder="1" applyAlignment="1">
      <alignment horizontal="center" vertical="center"/>
    </xf>
    <xf numFmtId="0" fontId="32" fillId="2" borderId="0" xfId="0" applyFont="1" applyFill="1" applyBorder="1" applyAlignment="1">
      <alignment horizontal="center" vertical="center"/>
    </xf>
    <xf numFmtId="0" fontId="33" fillId="3" borderId="2" xfId="0" applyFont="1" applyFill="1" applyBorder="1" applyAlignment="1">
      <alignment horizontal="center" vertical="center"/>
    </xf>
    <xf numFmtId="0" fontId="11" fillId="0" borderId="2" xfId="0" applyFont="1" applyBorder="1" applyAlignment="1">
      <alignment horizontal="center" vertical="center"/>
    </xf>
    <xf numFmtId="0" fontId="11" fillId="6" borderId="2" xfId="0" applyFont="1" applyFill="1" applyBorder="1" applyAlignment="1">
      <alignment horizontal="center" vertical="center"/>
    </xf>
    <xf numFmtId="0" fontId="33" fillId="17" borderId="2" xfId="0" applyFont="1" applyFill="1" applyBorder="1" applyAlignment="1">
      <alignment horizontal="center" vertical="center"/>
    </xf>
    <xf numFmtId="0" fontId="33" fillId="16" borderId="2" xfId="0" applyFont="1" applyFill="1" applyBorder="1" applyAlignment="1">
      <alignment horizontal="center" vertical="center"/>
    </xf>
    <xf numFmtId="0" fontId="33" fillId="15" borderId="2" xfId="0" applyFont="1" applyFill="1" applyBorder="1" applyAlignment="1">
      <alignment horizontal="center" vertical="center"/>
    </xf>
    <xf numFmtId="0" fontId="33" fillId="18" borderId="2" xfId="0" applyFont="1" applyFill="1" applyBorder="1" applyAlignment="1">
      <alignment horizontal="center" vertical="center"/>
    </xf>
    <xf numFmtId="0" fontId="33" fillId="21" borderId="2" xfId="0" applyFont="1" applyFill="1" applyBorder="1" applyAlignment="1">
      <alignment horizontal="center" vertical="center"/>
    </xf>
    <xf numFmtId="0" fontId="33" fillId="19" borderId="2" xfId="0" applyFont="1" applyFill="1" applyBorder="1" applyAlignment="1">
      <alignment horizontal="center" vertical="center"/>
    </xf>
    <xf numFmtId="0" fontId="33" fillId="14" borderId="2" xfId="0" applyFont="1" applyFill="1" applyBorder="1" applyAlignment="1">
      <alignment horizontal="center" vertical="center"/>
    </xf>
    <xf numFmtId="0" fontId="33" fillId="22" borderId="2" xfId="0" applyFont="1" applyFill="1" applyBorder="1" applyAlignment="1">
      <alignment horizontal="center" vertical="center"/>
    </xf>
    <xf numFmtId="0" fontId="33" fillId="23" borderId="2" xfId="0" applyFont="1" applyFill="1" applyBorder="1" applyAlignment="1">
      <alignment horizontal="center" vertical="center"/>
    </xf>
    <xf numFmtId="0" fontId="33" fillId="24" borderId="2" xfId="0" applyFont="1" applyFill="1" applyBorder="1" applyAlignment="1">
      <alignment horizontal="center" vertical="center"/>
    </xf>
    <xf numFmtId="0" fontId="33" fillId="25" borderId="2" xfId="0" applyFont="1" applyFill="1" applyBorder="1" applyAlignment="1">
      <alignment horizontal="center" vertical="center"/>
    </xf>
    <xf numFmtId="49" fontId="13" fillId="0" borderId="0" xfId="0" applyNumberFormat="1" applyFont="1" applyBorder="1">
      <alignment vertical="top"/>
    </xf>
    <xf numFmtId="0" fontId="31" fillId="2" borderId="2" xfId="0" applyFont="1" applyFill="1" applyBorder="1" applyAlignment="1">
      <alignment horizontal="center" vertical="center"/>
    </xf>
    <xf numFmtId="0" fontId="33" fillId="26" borderId="2" xfId="0" applyFont="1" applyFill="1" applyBorder="1" applyAlignment="1">
      <alignment horizontal="center" vertical="center"/>
    </xf>
    <xf numFmtId="0" fontId="34" fillId="7" borderId="2" xfId="0" applyFont="1" applyFill="1" applyBorder="1" applyAlignment="1">
      <alignment horizontal="center" vertical="center"/>
    </xf>
    <xf numFmtId="0" fontId="33" fillId="27" borderId="2" xfId="0" applyFont="1" applyFill="1" applyBorder="1" applyAlignment="1">
      <alignment horizontal="center" vertical="center"/>
    </xf>
    <xf numFmtId="0" fontId="35" fillId="8" borderId="2" xfId="0" applyFont="1" applyFill="1" applyBorder="1" applyAlignment="1">
      <alignment horizontal="center" vertical="center"/>
    </xf>
    <xf numFmtId="0" fontId="33" fillId="7" borderId="2" xfId="0" applyFont="1" applyFill="1" applyBorder="1" applyAlignment="1">
      <alignment horizontal="center" vertical="center"/>
    </xf>
    <xf numFmtId="0" fontId="3" fillId="0" borderId="0" xfId="0" applyFont="1" applyBorder="1">
      <alignment vertical="top"/>
    </xf>
    <xf numFmtId="0" fontId="19" fillId="5" borderId="2" xfId="0" applyFont="1" applyFill="1" applyBorder="1" applyAlignment="1">
      <alignment horizontal="left" vertical="center"/>
    </xf>
    <xf numFmtId="0" fontId="33" fillId="13" borderId="2" xfId="0" applyFont="1" applyFill="1" applyBorder="1" applyAlignment="1">
      <alignment horizontal="center" vertical="center"/>
    </xf>
    <xf numFmtId="0" fontId="19" fillId="3" borderId="2" xfId="0" applyFont="1" applyFill="1" applyBorder="1" applyAlignment="1">
      <alignment horizontal="center" vertical="center"/>
    </xf>
    <xf numFmtId="0" fontId="19" fillId="6" borderId="2" xfId="0" applyFont="1" applyFill="1" applyBorder="1" applyAlignment="1">
      <alignment horizontal="left" vertical="center"/>
    </xf>
    <xf numFmtId="0" fontId="23" fillId="7" borderId="2" xfId="0" applyFont="1" applyFill="1" applyBorder="1" applyAlignment="1">
      <alignment vertical="center"/>
    </xf>
    <xf numFmtId="0" fontId="23" fillId="8" borderId="2" xfId="0" applyFont="1" applyFill="1" applyBorder="1" applyAlignment="1">
      <alignment vertical="center"/>
    </xf>
    <xf numFmtId="49" fontId="19" fillId="13" borderId="0" xfId="0" applyNumberFormat="1" applyFont="1" applyFill="1" applyBorder="1" applyAlignment="1">
      <alignment horizontal="center" vertical="top"/>
    </xf>
    <xf numFmtId="49" fontId="19" fillId="7" borderId="0" xfId="0" applyNumberFormat="1" applyFont="1" applyFill="1" applyBorder="1" applyAlignment="1">
      <alignment horizontal="center" vertical="top"/>
    </xf>
    <xf numFmtId="0" fontId="33" fillId="3" borderId="0" xfId="0" applyFont="1" applyFill="1" applyBorder="1">
      <alignment vertical="top"/>
    </xf>
    <xf numFmtId="0" fontId="19" fillId="5" borderId="2" xfId="0" applyFont="1" applyFill="1" applyBorder="1" applyAlignment="1">
      <alignment horizontal="center" vertical="top"/>
    </xf>
    <xf numFmtId="49" fontId="16" fillId="12" borderId="0" xfId="0" applyNumberFormat="1" applyFont="1" applyFill="1" applyBorder="1" applyAlignment="1">
      <alignment horizontal="center" vertical="top"/>
    </xf>
    <xf numFmtId="49" fontId="19" fillId="8" borderId="0" xfId="0" applyNumberFormat="1" applyFont="1" applyFill="1" applyBorder="1" applyAlignment="1">
      <alignment horizontal="center" vertical="top"/>
    </xf>
    <xf numFmtId="3" fontId="19" fillId="5" borderId="2" xfId="0" applyNumberFormat="1" applyFont="1" applyFill="1" applyBorder="1" applyAlignment="1">
      <alignment horizontal="center" vertical="top"/>
    </xf>
    <xf numFmtId="49" fontId="19" fillId="25" borderId="0" xfId="0" applyNumberFormat="1" applyFont="1" applyFill="1" applyBorder="1" applyAlignment="1">
      <alignment horizontal="center" vertical="top"/>
    </xf>
    <xf numFmtId="49" fontId="33" fillId="9" borderId="0" xfId="0" applyNumberFormat="1" applyFont="1" applyFill="1" applyBorder="1" applyAlignment="1">
      <alignment horizontal="center" vertical="top"/>
    </xf>
    <xf numFmtId="49" fontId="19" fillId="9" borderId="0" xfId="0" applyNumberFormat="1" applyFont="1" applyFill="1" applyBorder="1" applyAlignment="1">
      <alignment horizontal="center" vertical="top"/>
    </xf>
    <xf numFmtId="49" fontId="16" fillId="11" borderId="0" xfId="0" applyNumberFormat="1" applyFont="1" applyFill="1" applyBorder="1" applyAlignment="1">
      <alignment horizontal="center" vertical="top"/>
    </xf>
    <xf numFmtId="49" fontId="19" fillId="3" borderId="0" xfId="0" applyNumberFormat="1" applyFont="1" applyFill="1" applyBorder="1" applyAlignment="1">
      <alignment horizontal="center" vertical="top"/>
    </xf>
    <xf numFmtId="49" fontId="20" fillId="10" borderId="0" xfId="0" applyNumberFormat="1" applyFont="1" applyFill="1" applyBorder="1" applyAlignment="1">
      <alignment horizontal="center" vertical="top"/>
    </xf>
    <xf numFmtId="164" fontId="23" fillId="5" borderId="2" xfId="0" applyNumberFormat="1" applyFont="1" applyFill="1" applyBorder="1" applyAlignment="1">
      <alignment horizontal="right" vertical="center"/>
    </xf>
    <xf numFmtId="0" fontId="29" fillId="3" borderId="2" xfId="0" applyFont="1" applyFill="1" applyBorder="1" applyAlignment="1">
      <alignment horizontal="left" vertical="center"/>
    </xf>
    <xf numFmtId="0" fontId="23" fillId="5" borderId="2" xfId="0" applyFont="1" applyFill="1" applyBorder="1" applyAlignment="1">
      <alignment horizontal="right" vertical="center"/>
    </xf>
    <xf numFmtId="164" fontId="23" fillId="6" borderId="2" xfId="0" applyNumberFormat="1" applyFont="1" applyFill="1" applyBorder="1" applyAlignment="1">
      <alignment horizontal="right" vertical="center"/>
    </xf>
    <xf numFmtId="0" fontId="23" fillId="13" borderId="2" xfId="0" applyFont="1" applyFill="1" applyBorder="1" applyAlignment="1">
      <alignment horizontal="center" vertical="center"/>
    </xf>
    <xf numFmtId="165" fontId="23" fillId="5" borderId="2" xfId="0" applyNumberFormat="1" applyFont="1" applyFill="1" applyBorder="1" applyAlignment="1">
      <alignment horizontal="right" vertical="center"/>
    </xf>
    <xf numFmtId="10" fontId="23" fillId="5" borderId="2" xfId="0" applyNumberFormat="1" applyFont="1" applyFill="1" applyBorder="1" applyAlignment="1">
      <alignment horizontal="right" vertical="center"/>
    </xf>
    <xf numFmtId="0" fontId="24" fillId="10" borderId="2" xfId="0" applyFont="1" applyFill="1" applyBorder="1" applyAlignment="1">
      <alignment vertical="center"/>
    </xf>
    <xf numFmtId="168" fontId="23" fillId="0" borderId="2" xfId="0" applyNumberFormat="1" applyFont="1" applyBorder="1" applyAlignment="1">
      <alignment horizontal="center" vertical="center"/>
    </xf>
    <xf numFmtId="0" fontId="29" fillId="3" borderId="2" xfId="0" applyFont="1" applyFill="1" applyBorder="1" applyAlignment="1">
      <alignment vertical="center"/>
    </xf>
    <xf numFmtId="0" fontId="5" fillId="11" borderId="2" xfId="0" applyFont="1" applyFill="1" applyBorder="1" applyAlignment="1">
      <alignment vertical="center"/>
    </xf>
    <xf numFmtId="168" fontId="23" fillId="6" borderId="2" xfId="0" applyNumberFormat="1" applyFont="1" applyFill="1" applyBorder="1" applyAlignment="1">
      <alignment horizontal="center" vertical="center"/>
    </xf>
    <xf numFmtId="49" fontId="33" fillId="13" borderId="0" xfId="0" applyNumberFormat="1" applyFont="1" applyFill="1" applyBorder="1" applyAlignment="1">
      <alignment horizontal="center" vertical="top"/>
    </xf>
    <xf numFmtId="0" fontId="30" fillId="5" borderId="0" xfId="0" applyFont="1" applyFill="1" applyBorder="1">
      <alignment vertical="top"/>
    </xf>
    <xf numFmtId="0" fontId="3" fillId="5" borderId="0" xfId="0" applyFont="1" applyFill="1" applyBorder="1">
      <alignment vertical="top"/>
    </xf>
    <xf numFmtId="0" fontId="3" fillId="5" borderId="3" xfId="0" applyFont="1" applyFill="1" applyBorder="1">
      <alignment vertical="top"/>
    </xf>
    <xf numFmtId="0" fontId="30" fillId="5" borderId="2" xfId="0" applyFont="1" applyFill="1" applyBorder="1" applyAlignment="1">
      <alignment horizontal="left" vertical="center"/>
    </xf>
    <xf numFmtId="0" fontId="30" fillId="5" borderId="2" xfId="0" applyFont="1" applyFill="1" applyBorder="1" applyAlignment="1">
      <alignment horizontal="center" vertical="center"/>
    </xf>
    <xf numFmtId="0" fontId="24" fillId="9" borderId="2" xfId="0" applyFont="1" applyFill="1" applyBorder="1" applyAlignment="1">
      <alignment horizontal="left" vertical="center"/>
    </xf>
    <xf numFmtId="0" fontId="24" fillId="3" borderId="2" xfId="0" applyFont="1" applyFill="1" applyBorder="1" applyAlignment="1">
      <alignment horizontal="left" vertical="center"/>
    </xf>
    <xf numFmtId="0" fontId="30" fillId="6" borderId="2" xfId="0" applyFont="1" applyFill="1" applyBorder="1" applyAlignment="1">
      <alignment horizontal="left" vertical="center"/>
    </xf>
    <xf numFmtId="0" fontId="30" fillId="6" borderId="2" xfId="0" applyFont="1" applyFill="1" applyBorder="1" applyAlignment="1">
      <alignment horizontal="center" vertical="center"/>
    </xf>
    <xf numFmtId="0" fontId="30" fillId="8" borderId="2" xfId="0" applyFont="1" applyFill="1" applyBorder="1" applyAlignment="1">
      <alignment horizontal="left" vertical="center"/>
    </xf>
    <xf numFmtId="10" fontId="30" fillId="5" borderId="2" xfId="0" applyNumberFormat="1" applyFont="1" applyFill="1" applyBorder="1" applyAlignment="1">
      <alignment horizontal="center" vertical="center"/>
    </xf>
    <xf numFmtId="0" fontId="32" fillId="2" borderId="2" xfId="0" applyFont="1" applyFill="1" applyBorder="1" applyAlignment="1">
      <alignment horizontal="center" vertical="center"/>
    </xf>
    <xf numFmtId="49" fontId="33" fillId="7" borderId="0" xfId="0" applyNumberFormat="1" applyFont="1" applyFill="1" applyBorder="1" applyAlignment="1">
      <alignment horizontal="center" vertical="top"/>
    </xf>
    <xf numFmtId="0" fontId="33" fillId="9" borderId="2" xfId="0" applyFont="1" applyFill="1" applyBorder="1" applyAlignment="1">
      <alignment horizontal="center" vertical="center"/>
    </xf>
    <xf numFmtId="0" fontId="33" fillId="3" borderId="2" xfId="0" applyFont="1" applyFill="1" applyBorder="1" applyAlignment="1">
      <alignment vertical="center"/>
    </xf>
    <xf numFmtId="2" fontId="19" fillId="5" borderId="2" xfId="0" applyNumberFormat="1" applyFont="1" applyFill="1" applyBorder="1" applyAlignment="1">
      <alignment horizontal="center" vertical="center"/>
    </xf>
    <xf numFmtId="10" fontId="19" fillId="5" borderId="2" xfId="0" applyNumberFormat="1" applyFont="1" applyFill="1" applyBorder="1" applyAlignment="1">
      <alignment horizontal="center" vertical="center"/>
    </xf>
    <xf numFmtId="0" fontId="19" fillId="7" borderId="2" xfId="0" applyFont="1" applyFill="1" applyBorder="1" applyAlignment="1">
      <alignment vertical="center"/>
    </xf>
    <xf numFmtId="0" fontId="19" fillId="8" borderId="2" xfId="0" applyFont="1" applyFill="1" applyBorder="1" applyAlignment="1">
      <alignment vertical="center"/>
    </xf>
    <xf numFmtId="0" fontId="19" fillId="3" borderId="2" xfId="0" applyFont="1" applyFill="1" applyBorder="1" applyAlignment="1">
      <alignment vertical="center"/>
    </xf>
    <xf numFmtId="0" fontId="29" fillId="9" borderId="2" xfId="0" applyFont="1" applyFill="1" applyBorder="1" applyAlignment="1">
      <alignment horizontal="left" vertical="center"/>
    </xf>
    <xf numFmtId="0" fontId="23" fillId="8" borderId="2" xfId="0" applyFont="1" applyFill="1" applyBorder="1" applyAlignment="1">
      <alignment horizontal="left" vertical="center"/>
    </xf>
    <xf numFmtId="0" fontId="23" fillId="7" borderId="2" xfId="0" applyFont="1" applyFill="1" applyBorder="1" applyAlignment="1">
      <alignment horizontal="left" vertical="center"/>
    </xf>
    <xf numFmtId="0" fontId="13" fillId="0" borderId="2" xfId="0" applyFont="1" applyBorder="1" applyAlignment="1">
      <alignment vertical="center"/>
    </xf>
    <xf numFmtId="0" fontId="13" fillId="3" borderId="2" xfId="0" applyFont="1" applyFill="1" applyBorder="1" applyAlignment="1">
      <alignment horizontal="right" vertical="top"/>
    </xf>
    <xf numFmtId="169" fontId="13" fillId="0" borderId="2" xfId="0" applyNumberFormat="1" applyFont="1" applyBorder="1" applyAlignment="1">
      <alignment horizontal="right" vertical="top"/>
    </xf>
    <xf numFmtId="0" fontId="33" fillId="3" borderId="2" xfId="0" applyFont="1" applyFill="1" applyBorder="1">
      <alignment vertical="top"/>
    </xf>
    <xf numFmtId="170" fontId="13" fillId="5" borderId="2" xfId="0" applyNumberFormat="1" applyFont="1" applyFill="1" applyBorder="1" applyAlignment="1">
      <alignment horizontal="right" vertical="top"/>
    </xf>
    <xf numFmtId="0" fontId="13" fillId="6" borderId="2" xfId="0" applyFont="1" applyFill="1" applyBorder="1" applyAlignment="1">
      <alignment vertical="center"/>
    </xf>
    <xf numFmtId="169" fontId="13" fillId="6" borderId="2" xfId="0" applyNumberFormat="1" applyFont="1" applyFill="1" applyBorder="1" applyAlignment="1">
      <alignment horizontal="right" vertical="top"/>
    </xf>
    <xf numFmtId="169" fontId="13" fillId="7" borderId="2" xfId="0" applyNumberFormat="1" applyFont="1" applyFill="1" applyBorder="1" applyAlignment="1">
      <alignment horizontal="right" vertical="top"/>
    </xf>
    <xf numFmtId="171" fontId="13" fillId="5" borderId="2" xfId="0" applyNumberFormat="1" applyFont="1" applyFill="1" applyBorder="1" applyAlignment="1">
      <alignment horizontal="right" vertical="top"/>
    </xf>
    <xf numFmtId="169" fontId="13" fillId="8" borderId="2" xfId="0" applyNumberFormat="1" applyFont="1" applyFill="1" applyBorder="1" applyAlignment="1">
      <alignment horizontal="right" vertical="top"/>
    </xf>
    <xf numFmtId="0" fontId="37" fillId="3" borderId="5" xfId="0" applyFont="1" applyFill="1" applyBorder="1">
      <alignment vertical="top"/>
    </xf>
    <xf numFmtId="0" fontId="37" fillId="3" borderId="5" xfId="0" applyFont="1" applyFill="1" applyBorder="1" applyAlignment="1">
      <alignment vertical="center"/>
    </xf>
    <xf numFmtId="0" fontId="37" fillId="3" borderId="5" xfId="0" applyFont="1" applyFill="1" applyBorder="1" applyAlignment="1">
      <alignment horizontal="right" vertical="top"/>
    </xf>
    <xf numFmtId="169" fontId="37" fillId="3" borderId="5" xfId="0" applyNumberFormat="1" applyFont="1" applyFill="1" applyBorder="1" applyAlignment="1">
      <alignment horizontal="right" vertical="top"/>
    </xf>
    <xf numFmtId="169" fontId="37" fillId="7" borderId="5" xfId="0" applyNumberFormat="1" applyFont="1" applyFill="1" applyBorder="1" applyAlignment="1">
      <alignment horizontal="right" vertical="top"/>
    </xf>
    <xf numFmtId="0" fontId="13" fillId="13" borderId="2" xfId="0" applyFont="1" applyFill="1" applyBorder="1" applyAlignment="1">
      <alignment horizontal="right" vertical="top"/>
    </xf>
    <xf numFmtId="0" fontId="13" fillId="0" borderId="2" xfId="0" applyFont="1" applyBorder="1" applyAlignment="1">
      <alignment horizontal="right" vertical="top"/>
    </xf>
    <xf numFmtId="0" fontId="15" fillId="2" borderId="6" xfId="0" applyFont="1" applyFill="1" applyBorder="1">
      <alignment vertical="top"/>
    </xf>
    <xf numFmtId="0" fontId="15" fillId="2" borderId="6" xfId="0" applyFont="1" applyFill="1" applyBorder="1" applyAlignment="1">
      <alignment vertical="center"/>
    </xf>
    <xf numFmtId="0" fontId="15" fillId="2" borderId="6" xfId="0" applyFont="1" applyFill="1" applyBorder="1" applyAlignment="1">
      <alignment horizontal="right" vertical="top"/>
    </xf>
    <xf numFmtId="169" fontId="15" fillId="2" borderId="6" xfId="0" applyNumberFormat="1" applyFont="1" applyFill="1" applyBorder="1" applyAlignment="1">
      <alignment horizontal="right" vertical="top"/>
    </xf>
    <xf numFmtId="49" fontId="32" fillId="2" borderId="2" xfId="0" applyNumberFormat="1" applyFont="1" applyFill="1" applyBorder="1" applyAlignment="1">
      <alignment horizontal="center" vertical="center"/>
    </xf>
    <xf numFmtId="14" fontId="19" fillId="5" borderId="2" xfId="0" applyNumberFormat="1" applyFont="1" applyFill="1" applyBorder="1" applyAlignment="1">
      <alignment horizontal="center" vertical="center"/>
    </xf>
    <xf numFmtId="9" fontId="19" fillId="5" borderId="2" xfId="0" applyNumberFormat="1" applyFont="1" applyFill="1" applyBorder="1" applyAlignment="1">
      <alignment horizontal="center" vertical="center"/>
    </xf>
    <xf numFmtId="14" fontId="19" fillId="6" borderId="2" xfId="0" applyNumberFormat="1" applyFont="1" applyFill="1" applyBorder="1" applyAlignment="1">
      <alignment horizontal="center" vertical="center"/>
    </xf>
    <xf numFmtId="9" fontId="19" fillId="6" borderId="2" xfId="0" applyNumberFormat="1" applyFont="1" applyFill="1" applyBorder="1" applyAlignment="1">
      <alignment horizontal="center" vertical="center"/>
    </xf>
    <xf numFmtId="10" fontId="19" fillId="5" borderId="2" xfId="0" applyNumberFormat="1" applyFont="1" applyFill="1" applyBorder="1" applyAlignment="1">
      <alignment horizontal="center" vertical="top"/>
    </xf>
    <xf numFmtId="0" fontId="19" fillId="25" borderId="2" xfId="0" applyFont="1" applyFill="1" applyBorder="1" applyAlignment="1">
      <alignment horizontal="center" vertical="center"/>
    </xf>
    <xf numFmtId="0" fontId="16" fillId="12" borderId="2" xfId="0" applyFont="1" applyFill="1" applyBorder="1" applyAlignment="1">
      <alignment horizontal="center" vertical="center"/>
    </xf>
    <xf numFmtId="0" fontId="38" fillId="13" borderId="2" xfId="0" applyFont="1" applyFill="1" applyBorder="1" applyAlignment="1">
      <alignment horizontal="center" vertical="center"/>
    </xf>
    <xf numFmtId="0" fontId="38" fillId="8" borderId="2" xfId="0" applyFont="1" applyFill="1" applyBorder="1" applyAlignment="1">
      <alignment horizontal="center" vertical="center"/>
    </xf>
    <xf numFmtId="0" fontId="38" fillId="7" borderId="2" xfId="0" applyFont="1" applyFill="1" applyBorder="1" applyAlignment="1">
      <alignment horizontal="center" vertical="center"/>
    </xf>
    <xf numFmtId="0" fontId="39" fillId="0" borderId="0" xfId="0" applyFont="1" applyBorder="1">
      <alignment vertical="top"/>
    </xf>
    <xf numFmtId="0" fontId="31" fillId="4" borderId="2" xfId="0" applyFont="1" applyFill="1" applyBorder="1" applyAlignment="1">
      <alignment horizontal="center" vertical="center"/>
    </xf>
    <xf numFmtId="0" fontId="39" fillId="0" borderId="2" xfId="0" applyFont="1" applyBorder="1" applyAlignment="1">
      <alignment horizontal="center" vertical="center"/>
    </xf>
    <xf numFmtId="0" fontId="39" fillId="6" borderId="2" xfId="0" applyFont="1" applyFill="1" applyBorder="1" applyAlignment="1">
      <alignment horizontal="center" vertical="center"/>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xf>
    <xf numFmtId="49" fontId="3" fillId="0" borderId="2" xfId="0" applyNumberFormat="1" applyFont="1" applyBorder="1" applyAlignment="1">
      <alignment horizontal="center" vertical="center"/>
    </xf>
    <xf numFmtId="49" fontId="29" fillId="7" borderId="2" xfId="0" applyNumberFormat="1" applyFont="1" applyFill="1" applyBorder="1" applyAlignment="1">
      <alignment horizontal="center" vertical="center"/>
    </xf>
    <xf numFmtId="49" fontId="23" fillId="6" borderId="2" xfId="0" applyNumberFormat="1" applyFont="1" applyFill="1" applyBorder="1" applyAlignment="1">
      <alignment horizontal="center" vertical="center"/>
    </xf>
    <xf numFmtId="49" fontId="23" fillId="6" borderId="2" xfId="0" applyNumberFormat="1" applyFont="1" applyFill="1" applyBorder="1" applyAlignment="1">
      <alignment horizontal="left" vertical="center"/>
    </xf>
    <xf numFmtId="49" fontId="3" fillId="6" borderId="2" xfId="0" applyNumberFormat="1" applyFont="1" applyFill="1" applyBorder="1" applyAlignment="1">
      <alignment horizontal="center" vertical="center"/>
    </xf>
    <xf numFmtId="49" fontId="23" fillId="25" borderId="2" xfId="0" applyNumberFormat="1" applyFont="1" applyFill="1" applyBorder="1" applyAlignment="1">
      <alignment horizontal="center" vertical="center"/>
    </xf>
    <xf numFmtId="49" fontId="23" fillId="8" borderId="2" xfId="0" applyNumberFormat="1" applyFont="1" applyFill="1" applyBorder="1" applyAlignment="1">
      <alignment horizontal="center" vertical="center"/>
    </xf>
    <xf numFmtId="49" fontId="23" fillId="3" borderId="2" xfId="0" applyNumberFormat="1" applyFont="1" applyFill="1" applyBorder="1" applyAlignment="1">
      <alignment horizontal="center" vertical="center"/>
    </xf>
    <xf numFmtId="0" fontId="1" fillId="2" borderId="0" xfId="0" applyFont="1" applyFill="1" applyBorder="1" applyAlignment="1">
      <alignment horizontal="center" vertical="center"/>
    </xf>
    <xf numFmtId="0" fontId="0" fillId="0" borderId="1" xfId="0">
      <alignment vertical="top"/>
    </xf>
    <xf numFmtId="0" fontId="2" fillId="3" borderId="0" xfId="0" applyFont="1" applyFill="1" applyBorder="1" applyAlignment="1">
      <alignment horizontal="center" vertical="center"/>
    </xf>
    <xf numFmtId="0" fontId="4" fillId="2" borderId="0" xfId="0" applyFont="1" applyFill="1" applyBorder="1" applyAlignment="1">
      <alignment horizontal="center" vertical="center"/>
    </xf>
    <xf numFmtId="0" fontId="5" fillId="4" borderId="2" xfId="0" applyFont="1" applyFill="1" applyBorder="1" applyAlignment="1">
      <alignment horizontal="center" vertical="center"/>
    </xf>
    <xf numFmtId="0" fontId="6" fillId="5" borderId="2" xfId="0" applyFont="1" applyFill="1" applyBorder="1" applyAlignment="1">
      <alignment horizontal="left" vertical="center"/>
    </xf>
    <xf numFmtId="0" fontId="6" fillId="6" borderId="2" xfId="0" applyFont="1" applyFill="1" applyBorder="1" applyAlignment="1">
      <alignment horizontal="left" vertical="center"/>
    </xf>
    <xf numFmtId="0" fontId="8" fillId="3" borderId="0" xfId="0" applyFont="1" applyFill="1" applyBorder="1" applyAlignment="1">
      <alignment horizontal="center" vertical="center"/>
    </xf>
    <xf numFmtId="0" fontId="9" fillId="2" borderId="0" xfId="0" applyFont="1" applyFill="1" applyBorder="1" applyAlignment="1">
      <alignment horizontal="center" vertical="center"/>
    </xf>
    <xf numFmtId="0" fontId="10" fillId="3" borderId="0" xfId="0" applyFont="1" applyFill="1" applyBorder="1" applyAlignment="1">
      <alignment vertical="center"/>
    </xf>
    <xf numFmtId="0" fontId="12" fillId="2" borderId="0" xfId="0" applyFont="1" applyFill="1" applyBorder="1" applyAlignment="1">
      <alignment horizontal="center" vertical="center"/>
    </xf>
    <xf numFmtId="0" fontId="13" fillId="0" borderId="0" xfId="0" applyFont="1" applyBorder="1">
      <alignment vertical="top"/>
    </xf>
    <xf numFmtId="0" fontId="14" fillId="3" borderId="0" xfId="0" applyFont="1" applyFill="1" applyBorder="1" applyAlignment="1">
      <alignment horizontal="center" vertical="center"/>
    </xf>
    <xf numFmtId="0" fontId="15" fillId="2" borderId="0" xfId="0" applyFont="1" applyFill="1" applyBorder="1" applyAlignment="1">
      <alignment horizontal="center" vertical="center"/>
    </xf>
    <xf numFmtId="0" fontId="16" fillId="4" borderId="0" xfId="0" applyFont="1" applyFill="1" applyBorder="1" applyAlignment="1">
      <alignment horizontal="center" vertical="center"/>
    </xf>
    <xf numFmtId="0" fontId="17" fillId="5" borderId="4" xfId="0" applyFont="1" applyFill="1" applyBorder="1" applyAlignment="1">
      <alignment horizontal="center" vertical="center"/>
    </xf>
    <xf numFmtId="10" fontId="17" fillId="5" borderId="4" xfId="0" applyNumberFormat="1" applyFont="1" applyFill="1" applyBorder="1" applyAlignment="1">
      <alignment horizontal="center" vertical="center"/>
    </xf>
    <xf numFmtId="10" fontId="17" fillId="8" borderId="4" xfId="0" applyNumberFormat="1" applyFont="1" applyFill="1" applyBorder="1" applyAlignment="1">
      <alignment horizontal="center" vertical="center"/>
    </xf>
    <xf numFmtId="0" fontId="18" fillId="0" borderId="0" xfId="0" applyFont="1" applyBorder="1" applyAlignment="1">
      <alignment horizontal="center" vertical="center"/>
    </xf>
    <xf numFmtId="0" fontId="17" fillId="7" borderId="4" xfId="0" applyFont="1" applyFill="1" applyBorder="1" applyAlignment="1">
      <alignment horizontal="center" vertical="center"/>
    </xf>
    <xf numFmtId="164" fontId="17" fillId="5" borderId="4" xfId="0" applyNumberFormat="1" applyFont="1" applyFill="1" applyBorder="1" applyAlignment="1">
      <alignment horizontal="center" vertical="center"/>
    </xf>
    <xf numFmtId="0" fontId="17" fillId="9" borderId="4" xfId="0" applyFont="1" applyFill="1" applyBorder="1" applyAlignment="1">
      <alignment horizontal="center" vertical="center"/>
    </xf>
    <xf numFmtId="165" fontId="17" fillId="5" borderId="4" xfId="0" applyNumberFormat="1" applyFont="1" applyFill="1" applyBorder="1" applyAlignment="1">
      <alignment horizontal="center" vertical="center"/>
    </xf>
    <xf numFmtId="0" fontId="17" fillId="8" borderId="4" xfId="0" applyFont="1" applyFill="1" applyBorder="1" applyAlignment="1">
      <alignment horizontal="center" vertical="center"/>
    </xf>
    <xf numFmtId="166" fontId="17" fillId="5" borderId="4" xfId="0" applyNumberFormat="1" applyFont="1" applyFill="1" applyBorder="1" applyAlignment="1">
      <alignment horizontal="center" vertical="center"/>
    </xf>
    <xf numFmtId="167" fontId="17" fillId="7" borderId="4" xfId="0" applyNumberFormat="1" applyFont="1" applyFill="1" applyBorder="1" applyAlignment="1">
      <alignment horizontal="center" vertical="center"/>
    </xf>
    <xf numFmtId="0" fontId="19" fillId="0" borderId="2" xfId="0" applyFont="1" applyBorder="1" applyAlignment="1">
      <alignment vertical="center"/>
    </xf>
    <xf numFmtId="0" fontId="19" fillId="6" borderId="2" xfId="0" applyFont="1" applyFill="1" applyBorder="1" applyAlignment="1">
      <alignment vertical="center"/>
    </xf>
    <xf numFmtId="14" fontId="19" fillId="0" borderId="2" xfId="0" applyNumberFormat="1" applyFont="1" applyBorder="1" applyAlignment="1">
      <alignment vertical="center"/>
    </xf>
    <xf numFmtId="14" fontId="19" fillId="6" borderId="2" xfId="0" applyNumberFormat="1" applyFont="1" applyFill="1" applyBorder="1" applyAlignment="1">
      <alignment vertical="center"/>
    </xf>
    <xf numFmtId="0" fontId="21" fillId="5" borderId="2" xfId="0" applyFont="1" applyFill="1" applyBorder="1">
      <alignment vertical="top"/>
    </xf>
    <xf numFmtId="0" fontId="22" fillId="2" borderId="0" xfId="0" applyFont="1" applyFill="1" applyBorder="1" applyAlignment="1">
      <alignment horizontal="center" vertical="center"/>
    </xf>
    <xf numFmtId="0" fontId="23" fillId="0" borderId="2" xfId="0" applyFont="1" applyBorder="1" applyAlignment="1">
      <alignment horizontal="left" vertical="center"/>
    </xf>
    <xf numFmtId="0" fontId="23" fillId="6" borderId="2" xfId="0" applyFont="1" applyFill="1" applyBorder="1" applyAlignment="1">
      <alignment horizontal="left" vertical="center"/>
    </xf>
    <xf numFmtId="0" fontId="23" fillId="0" borderId="2" xfId="0" applyFont="1" applyBorder="1" applyAlignment="1">
      <alignment horizontal="center" vertical="center"/>
    </xf>
    <xf numFmtId="0" fontId="23" fillId="6" borderId="2" xfId="0" applyFont="1" applyFill="1" applyBorder="1" applyAlignment="1">
      <alignment horizontal="center" vertical="center"/>
    </xf>
    <xf numFmtId="0" fontId="25" fillId="5" borderId="2" xfId="0" applyFont="1" applyFill="1" applyBorder="1" applyAlignment="1">
      <alignment horizontal="center" vertical="center"/>
    </xf>
    <xf numFmtId="0" fontId="23" fillId="0" borderId="2" xfId="0" applyFont="1" applyBorder="1" applyAlignment="1">
      <alignment vertical="center"/>
    </xf>
    <xf numFmtId="14" fontId="23" fillId="0" borderId="2" xfId="0" applyNumberFormat="1" applyFont="1" applyBorder="1" applyAlignment="1">
      <alignment vertical="center"/>
    </xf>
    <xf numFmtId="14" fontId="13" fillId="0" borderId="0" xfId="0" applyNumberFormat="1" applyFont="1" applyBorder="1">
      <alignment vertical="top"/>
    </xf>
    <xf numFmtId="0" fontId="23" fillId="6" borderId="2" xfId="0" applyFont="1" applyFill="1" applyBorder="1" applyAlignment="1">
      <alignment vertical="center"/>
    </xf>
    <xf numFmtId="14" fontId="23" fillId="6" borderId="2" xfId="0" applyNumberFormat="1" applyFont="1" applyFill="1" applyBorder="1" applyAlignment="1">
      <alignment vertical="center"/>
    </xf>
    <xf numFmtId="0" fontId="5" fillId="4" borderId="0" xfId="0" applyFont="1" applyFill="1" applyBorder="1" applyAlignment="1">
      <alignment horizontal="center" vertical="center"/>
    </xf>
    <xf numFmtId="0" fontId="26" fillId="5" borderId="4" xfId="0" applyFont="1" applyFill="1" applyBorder="1" applyAlignment="1">
      <alignment horizontal="center" vertical="center"/>
    </xf>
    <xf numFmtId="0" fontId="27" fillId="0" borderId="0" xfId="0" applyFont="1" applyBorder="1" applyAlignment="1">
      <alignment horizontal="center" vertical="center"/>
    </xf>
    <xf numFmtId="0" fontId="23" fillId="5" borderId="2" xfId="0" applyFont="1" applyFill="1" applyBorder="1" applyAlignment="1">
      <alignment horizontal="left" vertical="center"/>
    </xf>
    <xf numFmtId="166" fontId="26" fillId="5" borderId="4" xfId="0" applyNumberFormat="1" applyFont="1" applyFill="1" applyBorder="1" applyAlignment="1">
      <alignment horizontal="center" vertical="center"/>
    </xf>
    <xf numFmtId="0" fontId="13" fillId="0" borderId="2" xfId="0" applyFont="1" applyBorder="1">
      <alignment vertical="top"/>
    </xf>
    <xf numFmtId="0" fontId="28" fillId="2" borderId="0" xfId="0" applyFont="1" applyFill="1" applyBorder="1" applyAlignment="1">
      <alignment horizontal="center" vertical="center"/>
    </xf>
    <xf numFmtId="0" fontId="2" fillId="3" borderId="0" xfId="0" applyFont="1" applyFill="1" applyBorder="1" applyAlignment="1">
      <alignment horizontal="left" vertical="center"/>
    </xf>
    <xf numFmtId="0" fontId="31" fillId="4" borderId="0" xfId="0" applyFont="1" applyFill="1" applyBorder="1" applyAlignment="1">
      <alignment horizontal="center" vertical="center"/>
    </xf>
    <xf numFmtId="0" fontId="25" fillId="5" borderId="2" xfId="0" applyFont="1" applyFill="1" applyBorder="1" applyAlignment="1">
      <alignment horizontal="left" vertical="center"/>
    </xf>
    <xf numFmtId="0" fontId="14" fillId="3" borderId="0" xfId="0" applyFont="1" applyFill="1" applyBorder="1" applyAlignment="1">
      <alignment horizontal="left" vertical="center"/>
    </xf>
    <xf numFmtId="0" fontId="10" fillId="3" borderId="0" xfId="0" applyFont="1" applyFill="1" applyBorder="1" applyAlignment="1">
      <alignment horizontal="left" vertical="center"/>
    </xf>
    <xf numFmtId="0" fontId="32" fillId="2" borderId="0" xfId="0" applyFont="1" applyFill="1" applyBorder="1" applyAlignment="1">
      <alignment horizontal="center" vertical="top"/>
    </xf>
    <xf numFmtId="0" fontId="30" fillId="5" borderId="0" xfId="0" applyFont="1" applyFill="1" applyBorder="1">
      <alignment vertical="top"/>
    </xf>
    <xf numFmtId="0" fontId="36" fillId="3" borderId="0" xfId="0" applyFont="1" applyFill="1" applyBorder="1" applyAlignment="1">
      <alignment horizontal="left" vertical="center"/>
    </xf>
    <xf numFmtId="0" fontId="31" fillId="2" borderId="0" xfId="0" applyFont="1" applyFill="1" applyBorder="1" applyAlignment="1">
      <alignment horizontal="center" vertical="center"/>
    </xf>
    <xf numFmtId="0" fontId="10" fillId="3" borderId="0" xfId="0" applyFont="1" applyFill="1" applyBorder="1" applyAlignment="1">
      <alignment horizontal="center" vertical="center"/>
    </xf>
    <xf numFmtId="0" fontId="32" fillId="2" borderId="0" xfId="0" applyFont="1" applyFill="1" applyBorder="1" applyAlignment="1">
      <alignment horizontal="center" vertical="center"/>
    </xf>
    <xf numFmtId="0" fontId="40" fillId="28" borderId="1" xfId="0" applyFont="1" applyFill="1" applyAlignment="1">
      <alignment horizontal="center" vertical="center"/>
    </xf>
    <xf numFmtId="0" fontId="43" fillId="29" borderId="1" xfId="0" applyFont="1" applyFill="1" applyAlignment="1">
      <alignment horizontal="center" vertical="center" wrapText="1"/>
    </xf>
    <xf numFmtId="0" fontId="44" fillId="30" borderId="1" xfId="0" applyFont="1" applyFill="1" applyAlignment="1">
      <alignment horizontal="center" vertical="top"/>
    </xf>
    <xf numFmtId="0" fontId="46" fillId="0" borderId="1" xfId="0" applyFont="1" applyBorder="1" applyAlignment="1">
      <alignment horizontal="left" vertical="top"/>
    </xf>
    <xf numFmtId="0" fontId="47" fillId="0" borderId="7" xfId="0" applyFont="1" applyBorder="1" applyAlignment="1">
      <alignment horizontal="center" vertical="top"/>
    </xf>
    <xf numFmtId="0" fontId="47" fillId="0" borderId="9" xfId="0" applyFont="1" applyBorder="1" applyAlignment="1">
      <alignment horizontal="center" vertical="top"/>
    </xf>
    <xf numFmtId="0" fontId="47" fillId="0" borderId="12" xfId="0" applyFont="1" applyBorder="1" applyAlignment="1">
      <alignment horizontal="center" vertical="top"/>
    </xf>
    <xf numFmtId="0" fontId="47" fillId="31" borderId="9" xfId="0" applyFont="1" applyFill="1" applyBorder="1" applyAlignment="1">
      <alignment horizontal="center" vertical="top"/>
    </xf>
    <xf numFmtId="0" fontId="47" fillId="31" borderId="7" xfId="0" applyFont="1" applyFill="1" applyBorder="1" applyAlignment="1">
      <alignment horizontal="center" vertical="top"/>
    </xf>
    <xf numFmtId="0" fontId="47" fillId="31" borderId="12" xfId="0" applyFont="1" applyFill="1" applyBorder="1" applyAlignment="1">
      <alignment horizontal="center" vertical="top"/>
    </xf>
    <xf numFmtId="171" fontId="48" fillId="31" borderId="10" xfId="0" applyNumberFormat="1" applyFont="1" applyFill="1" applyBorder="1" applyAlignment="1">
      <alignment horizontal="center" vertical="center"/>
    </xf>
    <xf numFmtId="0" fontId="48" fillId="31" borderId="1" xfId="0" applyFont="1" applyFill="1" applyBorder="1" applyAlignment="1">
      <alignment horizontal="center" vertical="center"/>
    </xf>
    <xf numFmtId="0" fontId="48" fillId="31" borderId="13" xfId="0" applyFont="1" applyFill="1" applyBorder="1" applyAlignment="1">
      <alignment horizontal="center" vertical="center"/>
    </xf>
    <xf numFmtId="0" fontId="49" fillId="31" borderId="11" xfId="0" applyFont="1" applyFill="1" applyBorder="1" applyAlignment="1">
      <alignment horizontal="center" vertical="top" wrapText="1"/>
    </xf>
    <xf numFmtId="0" fontId="49" fillId="31" borderId="8" xfId="0" applyFont="1" applyFill="1" applyBorder="1" applyAlignment="1">
      <alignment horizontal="center" vertical="top" wrapText="1"/>
    </xf>
    <xf numFmtId="0" fontId="49" fillId="31" borderId="14" xfId="0" applyFont="1" applyFill="1" applyBorder="1" applyAlignment="1">
      <alignment horizontal="center" vertical="top" wrapText="1"/>
    </xf>
    <xf numFmtId="172" fontId="48" fillId="31" borderId="10" xfId="0" applyNumberFormat="1" applyFont="1" applyFill="1" applyBorder="1" applyAlignment="1">
      <alignment horizontal="center" vertical="center"/>
    </xf>
    <xf numFmtId="1" fontId="48" fillId="31" borderId="10" xfId="0" applyNumberFormat="1" applyFont="1" applyFill="1" applyBorder="1" applyAlignment="1">
      <alignment horizontal="center" vertical="center"/>
    </xf>
    <xf numFmtId="0" fontId="51" fillId="34" borderId="15" xfId="0" applyFont="1" applyFill="1" applyBorder="1" applyAlignment="1">
      <alignment horizontal="center" vertical="top"/>
    </xf>
    <xf numFmtId="0" fontId="51" fillId="34" borderId="16" xfId="0" applyFont="1" applyFill="1" applyBorder="1" applyAlignment="1">
      <alignment horizontal="center" vertical="top"/>
    </xf>
    <xf numFmtId="0" fontId="51" fillId="34" borderId="16" xfId="0" applyFont="1" applyFill="1" applyBorder="1" applyAlignment="1">
      <alignment horizontal="center" vertical="top"/>
    </xf>
    <xf numFmtId="0" fontId="51" fillId="34" borderId="17" xfId="0" applyFont="1" applyFill="1" applyBorder="1" applyAlignment="1">
      <alignment horizontal="center" vertical="top"/>
    </xf>
    <xf numFmtId="0" fontId="41" fillId="35" borderId="18" xfId="0" applyFont="1" applyFill="1" applyBorder="1" applyAlignment="1">
      <alignment horizontal="center" vertical="top"/>
    </xf>
    <xf numFmtId="0" fontId="41" fillId="35" borderId="19" xfId="0" applyFont="1" applyFill="1" applyBorder="1" applyAlignment="1">
      <alignment horizontal="center" vertical="top"/>
    </xf>
    <xf numFmtId="0" fontId="41" fillId="35" borderId="19" xfId="0" applyFont="1" applyFill="1" applyBorder="1" applyAlignment="1">
      <alignment horizontal="left" vertical="top"/>
    </xf>
    <xf numFmtId="0" fontId="41" fillId="35" borderId="19" xfId="0" applyFont="1" applyFill="1" applyBorder="1" applyAlignment="1">
      <alignment horizontal="center" vertical="top"/>
    </xf>
    <xf numFmtId="172" fontId="41" fillId="35" borderId="19" xfId="0" applyNumberFormat="1" applyFont="1" applyFill="1" applyBorder="1" applyAlignment="1">
      <alignment horizontal="center" vertical="top"/>
    </xf>
    <xf numFmtId="0" fontId="41" fillId="35" borderId="20" xfId="0" applyFont="1" applyFill="1" applyBorder="1" applyAlignment="1">
      <alignment horizontal="left" vertical="top"/>
    </xf>
    <xf numFmtId="0" fontId="41" fillId="0" borderId="18" xfId="0" applyFont="1" applyBorder="1" applyAlignment="1">
      <alignment horizontal="center" vertical="top"/>
    </xf>
    <xf numFmtId="0" fontId="41" fillId="0" borderId="19" xfId="0" applyFont="1" applyBorder="1" applyAlignment="1">
      <alignment horizontal="center" vertical="top"/>
    </xf>
    <xf numFmtId="0" fontId="41" fillId="0" borderId="19" xfId="0" applyFont="1" applyBorder="1" applyAlignment="1">
      <alignment horizontal="left" vertical="top"/>
    </xf>
    <xf numFmtId="0" fontId="41" fillId="0" borderId="19" xfId="0" applyFont="1" applyBorder="1" applyAlignment="1">
      <alignment horizontal="center" vertical="top"/>
    </xf>
    <xf numFmtId="172" fontId="41" fillId="0" borderId="19" xfId="0" applyNumberFormat="1" applyFont="1" applyBorder="1" applyAlignment="1">
      <alignment horizontal="center" vertical="top"/>
    </xf>
    <xf numFmtId="0" fontId="41" fillId="0" borderId="20" xfId="0" applyFont="1" applyBorder="1" applyAlignment="1">
      <alignment horizontal="left" vertical="top"/>
    </xf>
    <xf numFmtId="0" fontId="41" fillId="35" borderId="21" xfId="0" applyFont="1" applyFill="1" applyBorder="1" applyAlignment="1">
      <alignment horizontal="center" vertical="top"/>
    </xf>
    <xf numFmtId="0" fontId="41" fillId="35" borderId="22" xfId="0" applyFont="1" applyFill="1" applyBorder="1" applyAlignment="1">
      <alignment horizontal="center" vertical="top"/>
    </xf>
    <xf numFmtId="0" fontId="41" fillId="35" borderId="22" xfId="0" applyFont="1" applyFill="1" applyBorder="1" applyAlignment="1">
      <alignment horizontal="left" vertical="top"/>
    </xf>
    <xf numFmtId="0" fontId="41" fillId="35" borderId="22" xfId="0" applyFont="1" applyFill="1" applyBorder="1" applyAlignment="1">
      <alignment horizontal="center" vertical="top"/>
    </xf>
    <xf numFmtId="172" fontId="41" fillId="35" borderId="22" xfId="0" applyNumberFormat="1" applyFont="1" applyFill="1" applyBorder="1" applyAlignment="1">
      <alignment horizontal="center" vertical="top"/>
    </xf>
    <xf numFmtId="0" fontId="41" fillId="35" borderId="23" xfId="0" applyFont="1" applyFill="1" applyBorder="1" applyAlignment="1">
      <alignment horizontal="left" vertical="top"/>
    </xf>
    <xf numFmtId="0" fontId="54" fillId="29" borderId="21" xfId="0" applyFont="1" applyFill="1" applyBorder="1" applyAlignment="1">
      <alignment horizontal="right" vertical="top"/>
    </xf>
    <xf numFmtId="0" fontId="54" fillId="29" borderId="22" xfId="0" applyFont="1" applyFill="1" applyBorder="1">
      <alignment vertical="top"/>
    </xf>
    <xf numFmtId="2" fontId="54" fillId="29" borderId="22" xfId="0" applyNumberFormat="1" applyFont="1" applyFill="1" applyBorder="1" applyAlignment="1">
      <alignment horizontal="center" vertical="top"/>
    </xf>
    <xf numFmtId="0" fontId="54" fillId="29" borderId="22" xfId="0" applyFont="1" applyFill="1" applyBorder="1" applyAlignment="1">
      <alignment horizontal="center" vertical="top"/>
    </xf>
    <xf numFmtId="0" fontId="54" fillId="29" borderId="23" xfId="0" applyFont="1" applyFill="1" applyBorder="1">
      <alignment vertical="top"/>
    </xf>
    <xf numFmtId="0" fontId="49" fillId="0" borderId="8" xfId="0" applyFont="1" applyBorder="1" applyAlignment="1">
      <alignment horizontal="center" vertical="top"/>
    </xf>
    <xf numFmtId="0" fontId="49" fillId="0" borderId="11" xfId="0" applyFont="1" applyBorder="1" applyAlignment="1">
      <alignment horizontal="center" vertical="top"/>
    </xf>
    <xf numFmtId="0" fontId="49" fillId="0" borderId="14" xfId="0" applyFont="1" applyBorder="1" applyAlignment="1">
      <alignment horizontal="center" vertical="top"/>
    </xf>
    <xf numFmtId="0" fontId="56" fillId="31" borderId="10" xfId="0" applyFont="1" applyFill="1" applyBorder="1" applyAlignment="1">
      <alignment horizontal="center" vertical="center"/>
    </xf>
    <xf numFmtId="0" fontId="56" fillId="31" borderId="1" xfId="0" applyFont="1" applyFill="1" applyBorder="1" applyAlignment="1">
      <alignment horizontal="center" vertical="center"/>
    </xf>
    <xf numFmtId="0" fontId="56" fillId="31" borderId="13" xfId="0" applyFont="1" applyFill="1" applyBorder="1" applyAlignment="1">
      <alignment horizontal="center" vertical="center"/>
    </xf>
    <xf numFmtId="0" fontId="49" fillId="31" borderId="11" xfId="0" applyFont="1" applyFill="1" applyBorder="1" applyAlignment="1">
      <alignment horizontal="center" vertical="top"/>
    </xf>
    <xf numFmtId="0" fontId="49" fillId="31" borderId="8" xfId="0" applyFont="1" applyFill="1" applyBorder="1" applyAlignment="1">
      <alignment horizontal="center" vertical="top"/>
    </xf>
    <xf numFmtId="0" fontId="49" fillId="31" borderId="14" xfId="0" applyFont="1" applyFill="1" applyBorder="1" applyAlignment="1">
      <alignment horizontal="center" vertical="top"/>
    </xf>
    <xf numFmtId="0" fontId="41" fillId="35" borderId="19" xfId="0" applyFont="1" applyFill="1" applyBorder="1" applyAlignment="1">
      <alignment horizontal="left" vertical="top" wrapText="1"/>
    </xf>
    <xf numFmtId="0" fontId="41" fillId="0" borderId="19" xfId="0" applyFont="1" applyBorder="1" applyAlignment="1">
      <alignment horizontal="left" vertical="top" wrapText="1"/>
    </xf>
    <xf numFmtId="0" fontId="41" fillId="0" borderId="21" xfId="0" applyFont="1" applyBorder="1" applyAlignment="1">
      <alignment horizontal="center" vertical="top"/>
    </xf>
    <xf numFmtId="0" fontId="41" fillId="0" borderId="22" xfId="0" applyFont="1" applyBorder="1" applyAlignment="1">
      <alignment horizontal="center" vertical="top"/>
    </xf>
    <xf numFmtId="0" fontId="41" fillId="0" borderId="22" xfId="0" applyFont="1" applyBorder="1" applyAlignment="1">
      <alignment horizontal="left" vertical="top"/>
    </xf>
    <xf numFmtId="0" fontId="41" fillId="0" borderId="22" xfId="0" applyFont="1" applyBorder="1" applyAlignment="1">
      <alignment horizontal="left" vertical="top" wrapText="1"/>
    </xf>
    <xf numFmtId="0" fontId="41" fillId="0" borderId="23" xfId="0" applyFont="1" applyBorder="1" applyAlignment="1">
      <alignment horizontal="left" vertical="top"/>
    </xf>
    <xf numFmtId="0" fontId="41" fillId="35" borderId="19" xfId="0" applyFont="1" applyFill="1" applyBorder="1" applyAlignment="1">
      <alignment horizontal="center" vertical="top" wrapText="1"/>
    </xf>
    <xf numFmtId="0" fontId="41" fillId="35" borderId="20" xfId="0" applyFont="1" applyFill="1" applyBorder="1" applyAlignment="1">
      <alignment horizontal="center" vertical="top"/>
    </xf>
    <xf numFmtId="0" fontId="41" fillId="0" borderId="19" xfId="0" applyFont="1" applyBorder="1" applyAlignment="1">
      <alignment horizontal="center" vertical="top" wrapText="1"/>
    </xf>
    <xf numFmtId="0" fontId="41" fillId="0" borderId="19" xfId="0" applyFont="1" applyFill="1" applyBorder="1" applyAlignment="1">
      <alignment horizontal="center" vertical="top"/>
    </xf>
    <xf numFmtId="0" fontId="41" fillId="0" borderId="20" xfId="0" applyFont="1" applyFill="1" applyBorder="1" applyAlignment="1">
      <alignment horizontal="center" vertical="top"/>
    </xf>
    <xf numFmtId="0" fontId="41" fillId="0" borderId="18" xfId="0" applyFont="1" applyFill="1" applyBorder="1" applyAlignment="1">
      <alignment horizontal="center" vertical="top"/>
    </xf>
    <xf numFmtId="0" fontId="41" fillId="0" borderId="19" xfId="0" applyFont="1" applyFill="1" applyBorder="1" applyAlignment="1">
      <alignment horizontal="left" vertical="top" wrapText="1"/>
    </xf>
    <xf numFmtId="0" fontId="41" fillId="0" borderId="19" xfId="0" applyFont="1" applyFill="1" applyBorder="1" applyAlignment="1">
      <alignment horizontal="center" vertical="top" wrapText="1"/>
    </xf>
    <xf numFmtId="0" fontId="41" fillId="0" borderId="21" xfId="0" applyFont="1" applyFill="1" applyBorder="1" applyAlignment="1">
      <alignment horizontal="center" vertical="top"/>
    </xf>
    <xf numFmtId="0" fontId="41" fillId="0" borderId="22" xfId="0" applyFont="1" applyFill="1" applyBorder="1" applyAlignment="1">
      <alignment horizontal="center" vertical="top"/>
    </xf>
    <xf numFmtId="0" fontId="41" fillId="0" borderId="22" xfId="0" applyFont="1" applyFill="1" applyBorder="1" applyAlignment="1">
      <alignment horizontal="left" vertical="top" wrapText="1"/>
    </xf>
    <xf numFmtId="0" fontId="41" fillId="0" borderId="22" xfId="0" applyFont="1" applyFill="1" applyBorder="1" applyAlignment="1">
      <alignment horizontal="center" vertical="top" wrapText="1"/>
    </xf>
    <xf numFmtId="0" fontId="41" fillId="0" borderId="23" xfId="0" applyFont="1" applyFill="1" applyBorder="1" applyAlignment="1">
      <alignment horizontal="center" vertical="top"/>
    </xf>
    <xf numFmtId="0" fontId="41" fillId="35" borderId="19" xfId="0" applyFont="1" applyFill="1" applyBorder="1" applyAlignment="1">
      <alignment horizontal="center" vertical="top" wrapText="1"/>
    </xf>
    <xf numFmtId="9" fontId="41" fillId="35" borderId="19" xfId="0" applyNumberFormat="1" applyFont="1" applyFill="1" applyBorder="1" applyAlignment="1">
      <alignment horizontal="center" vertical="top"/>
    </xf>
    <xf numFmtId="0" fontId="41" fillId="35" borderId="20" xfId="0" applyFont="1" applyFill="1" applyBorder="1" applyAlignment="1">
      <alignment horizontal="left" vertical="top" wrapText="1"/>
    </xf>
    <xf numFmtId="0" fontId="41" fillId="0" borderId="19" xfId="0" applyFont="1" applyBorder="1" applyAlignment="1">
      <alignment horizontal="center" vertical="top" wrapText="1"/>
    </xf>
    <xf numFmtId="9" fontId="41" fillId="0" borderId="19" xfId="0" applyNumberFormat="1" applyFont="1" applyBorder="1" applyAlignment="1">
      <alignment horizontal="center" vertical="top"/>
    </xf>
    <xf numFmtId="0" fontId="41" fillId="0" borderId="20" xfId="0" applyFont="1" applyBorder="1" applyAlignment="1">
      <alignment horizontal="left" vertical="top" wrapText="1"/>
    </xf>
    <xf numFmtId="0" fontId="41" fillId="0" borderId="22" xfId="0" applyFont="1" applyBorder="1" applyAlignment="1">
      <alignment horizontal="center" vertical="top" wrapText="1"/>
    </xf>
    <xf numFmtId="0" fontId="41" fillId="0" borderId="22" xfId="0" applyFont="1" applyBorder="1" applyAlignment="1">
      <alignment horizontal="center" vertical="top"/>
    </xf>
    <xf numFmtId="9" fontId="41" fillId="0" borderId="22" xfId="0" applyNumberFormat="1" applyFont="1" applyBorder="1" applyAlignment="1">
      <alignment horizontal="center" vertical="top"/>
    </xf>
    <xf numFmtId="0" fontId="41" fillId="0" borderId="23" xfId="0" applyFont="1" applyBorder="1" applyAlignment="1">
      <alignment horizontal="left" vertical="top" wrapText="1"/>
    </xf>
    <xf numFmtId="173" fontId="56" fillId="31" borderId="10" xfId="0" applyNumberFormat="1" applyFont="1" applyFill="1" applyBorder="1" applyAlignment="1">
      <alignment horizontal="center" vertical="center"/>
    </xf>
    <xf numFmtId="0" fontId="57" fillId="31" borderId="1" xfId="0" applyFont="1" applyFill="1" applyBorder="1" applyAlignment="1">
      <alignment horizontal="left" vertical="top" wrapText="1"/>
    </xf>
    <xf numFmtId="0" fontId="57" fillId="31" borderId="7" xfId="0" applyFont="1" applyFill="1" applyBorder="1" applyAlignment="1">
      <alignment horizontal="left" vertical="top" wrapText="1"/>
    </xf>
    <xf numFmtId="0" fontId="57" fillId="31" borderId="8" xfId="0" applyFont="1" applyFill="1" applyBorder="1" applyAlignment="1">
      <alignment horizontal="left" vertical="top" wrapText="1"/>
    </xf>
    <xf numFmtId="0" fontId="57" fillId="31" borderId="9" xfId="0" applyFont="1" applyFill="1" applyBorder="1" applyAlignment="1">
      <alignment horizontal="left" vertical="top" wrapText="1"/>
    </xf>
    <xf numFmtId="0" fontId="57" fillId="31" borderId="10" xfId="0" applyFont="1" applyFill="1" applyBorder="1" applyAlignment="1">
      <alignment horizontal="left" vertical="top" wrapText="1"/>
    </xf>
    <xf numFmtId="0" fontId="57" fillId="31" borderId="11" xfId="0" applyFont="1" applyFill="1" applyBorder="1" applyAlignment="1">
      <alignment horizontal="left" vertical="top" wrapText="1"/>
    </xf>
    <xf numFmtId="0" fontId="57" fillId="31" borderId="12" xfId="0" applyFont="1" applyFill="1" applyBorder="1" applyAlignment="1">
      <alignment horizontal="left" vertical="top" wrapText="1"/>
    </xf>
    <xf numFmtId="0" fontId="57" fillId="31" borderId="13" xfId="0" applyFont="1" applyFill="1" applyBorder="1" applyAlignment="1">
      <alignment horizontal="left" vertical="top" wrapText="1"/>
    </xf>
    <xf numFmtId="0" fontId="57" fillId="31" borderId="14" xfId="0" applyFont="1" applyFill="1" applyBorder="1" applyAlignment="1">
      <alignment horizontal="left" vertical="top" wrapText="1"/>
    </xf>
    <xf numFmtId="0" fontId="58" fillId="0" borderId="7" xfId="0" applyFont="1" applyBorder="1" applyAlignment="1">
      <alignment horizontal="left" vertical="top"/>
    </xf>
    <xf numFmtId="0" fontId="59" fillId="35" borderId="15" xfId="0" applyFont="1" applyFill="1" applyBorder="1" applyAlignment="1">
      <alignment horizontal="left" vertical="top"/>
    </xf>
    <xf numFmtId="0" fontId="59" fillId="35" borderId="16" xfId="0" applyFont="1" applyFill="1" applyBorder="1" applyAlignment="1">
      <alignment horizontal="left" vertical="top"/>
    </xf>
    <xf numFmtId="0" fontId="41" fillId="35" borderId="16" xfId="0" applyFont="1" applyFill="1" applyBorder="1" applyAlignment="1">
      <alignment vertical="top" wrapText="1"/>
    </xf>
    <xf numFmtId="0" fontId="41" fillId="35" borderId="17" xfId="0" applyFont="1" applyFill="1" applyBorder="1" applyAlignment="1">
      <alignment vertical="top" wrapText="1"/>
    </xf>
    <xf numFmtId="0" fontId="59" fillId="0" borderId="18" xfId="0" applyFont="1" applyBorder="1" applyAlignment="1">
      <alignment horizontal="left" vertical="top"/>
    </xf>
    <xf numFmtId="0" fontId="59" fillId="0" borderId="19" xfId="0" applyFont="1" applyBorder="1" applyAlignment="1">
      <alignment horizontal="left" vertical="top"/>
    </xf>
    <xf numFmtId="0" fontId="41" fillId="0" borderId="19" xfId="0" applyFont="1" applyBorder="1" applyAlignment="1">
      <alignment vertical="top" wrapText="1"/>
    </xf>
    <xf numFmtId="0" fontId="41" fillId="0" borderId="20" xfId="0" applyFont="1" applyBorder="1" applyAlignment="1">
      <alignment vertical="top" wrapText="1"/>
    </xf>
    <xf numFmtId="0" fontId="59" fillId="35" borderId="18" xfId="0" applyFont="1" applyFill="1" applyBorder="1" applyAlignment="1">
      <alignment horizontal="left" vertical="top"/>
    </xf>
    <xf numFmtId="0" fontId="59" fillId="35" borderId="19" xfId="0" applyFont="1" applyFill="1" applyBorder="1" applyAlignment="1">
      <alignment horizontal="left" vertical="top"/>
    </xf>
    <xf numFmtId="0" fontId="41" fillId="35" borderId="19" xfId="0" applyFont="1" applyFill="1" applyBorder="1" applyAlignment="1">
      <alignment vertical="top" wrapText="1"/>
    </xf>
    <xf numFmtId="0" fontId="41" fillId="35" borderId="20" xfId="0" applyFont="1" applyFill="1" applyBorder="1" applyAlignment="1">
      <alignment vertical="top" wrapText="1"/>
    </xf>
    <xf numFmtId="0" fontId="59" fillId="0" borderId="18" xfId="0" applyFont="1" applyFill="1" applyBorder="1" applyAlignment="1">
      <alignment horizontal="left" vertical="top"/>
    </xf>
    <xf numFmtId="0" fontId="59" fillId="0" borderId="19" xfId="0" applyFont="1" applyFill="1" applyBorder="1" applyAlignment="1">
      <alignment horizontal="left" vertical="top"/>
    </xf>
    <xf numFmtId="0" fontId="41" fillId="0" borderId="19" xfId="0" applyFont="1" applyFill="1" applyBorder="1" applyAlignment="1">
      <alignment vertical="top" wrapText="1"/>
    </xf>
    <xf numFmtId="0" fontId="41" fillId="0" borderId="20" xfId="0" applyFont="1" applyFill="1" applyBorder="1" applyAlignment="1">
      <alignment vertical="top" wrapText="1"/>
    </xf>
    <xf numFmtId="0" fontId="59" fillId="35" borderId="21" xfId="0" applyFont="1" applyFill="1" applyBorder="1" applyAlignment="1">
      <alignment horizontal="left" vertical="top"/>
    </xf>
    <xf numFmtId="0" fontId="59" fillId="35" borderId="22" xfId="0" applyFont="1" applyFill="1" applyBorder="1" applyAlignment="1">
      <alignment horizontal="left" vertical="top"/>
    </xf>
    <xf numFmtId="0" fontId="41" fillId="35" borderId="22" xfId="0" applyFont="1" applyFill="1" applyBorder="1" applyAlignment="1">
      <alignment vertical="top" wrapText="1"/>
    </xf>
    <xf numFmtId="0" fontId="41" fillId="35" borderId="23" xfId="0" applyFont="1" applyFill="1" applyBorder="1" applyAlignment="1">
      <alignment vertical="top" wrapText="1"/>
    </xf>
    <xf numFmtId="0" fontId="56" fillId="32" borderId="1" xfId="0" applyFont="1" applyFill="1" applyBorder="1" applyAlignment="1">
      <alignment horizontal="center" vertical="center"/>
    </xf>
    <xf numFmtId="0" fontId="60" fillId="32" borderId="10" xfId="0" applyFont="1" applyFill="1" applyBorder="1" applyAlignment="1">
      <alignment horizontal="center" vertical="center"/>
    </xf>
    <xf numFmtId="0" fontId="61" fillId="33" borderId="10" xfId="0" applyFont="1" applyFill="1" applyBorder="1" applyAlignment="1">
      <alignment horizontal="center" vertical="center"/>
    </xf>
    <xf numFmtId="0" fontId="56" fillId="33" borderId="1" xfId="0" applyFont="1" applyFill="1" applyBorder="1" applyAlignment="1">
      <alignment horizontal="center" vertical="center"/>
    </xf>
    <xf numFmtId="0" fontId="62" fillId="36" borderId="10" xfId="0" applyFont="1" applyFill="1" applyBorder="1" applyAlignment="1">
      <alignment horizontal="center" vertical="center"/>
    </xf>
    <xf numFmtId="0" fontId="56" fillId="36" borderId="1" xfId="0" applyFont="1" applyFill="1" applyBorder="1" applyAlignment="1">
      <alignment horizontal="center" vertical="center"/>
    </xf>
    <xf numFmtId="0" fontId="63" fillId="29" borderId="10" xfId="0" applyFont="1" applyFill="1" applyBorder="1" applyAlignment="1">
      <alignment horizontal="center" vertical="center"/>
    </xf>
    <xf numFmtId="0" fontId="56" fillId="29" borderId="1" xfId="0" applyFont="1" applyFill="1" applyBorder="1" applyAlignment="1">
      <alignment horizontal="center" vertical="center"/>
    </xf>
    <xf numFmtId="0" fontId="56" fillId="29" borderId="13" xfId="0" applyFont="1" applyFill="1" applyBorder="1" applyAlignment="1">
      <alignment horizontal="center" vertical="center"/>
    </xf>
    <xf numFmtId="0" fontId="66" fillId="28" borderId="1" xfId="0" applyFont="1" applyFill="1" applyAlignment="1">
      <alignment horizontal="center" vertical="center"/>
    </xf>
    <xf numFmtId="0" fontId="67" fillId="0" borderId="1" xfId="0" applyFont="1" applyAlignment="1">
      <alignment horizontal="center" vertical="top"/>
    </xf>
    <xf numFmtId="0" fontId="68" fillId="28" borderId="1" xfId="0" applyFont="1" applyFill="1" applyAlignment="1">
      <alignment horizontal="center" vertical="top"/>
    </xf>
    <xf numFmtId="0" fontId="68" fillId="28" borderId="1" xfId="0" applyFont="1" applyFill="1" applyAlignment="1">
      <alignment horizontal="center" vertical="center"/>
    </xf>
    <xf numFmtId="0" fontId="57" fillId="37" borderId="24" xfId="0" applyFont="1" applyFill="1" applyBorder="1" applyAlignment="1">
      <alignment horizontal="left" vertical="top" wrapText="1"/>
    </xf>
    <xf numFmtId="0" fontId="57" fillId="37" borderId="25" xfId="0" applyFont="1" applyFill="1" applyBorder="1" applyAlignment="1">
      <alignment horizontal="left" vertical="top" wrapText="1"/>
    </xf>
    <xf numFmtId="0" fontId="57" fillId="37" borderId="26" xfId="0" applyFont="1" applyFill="1" applyBorder="1" applyAlignment="1">
      <alignment horizontal="left" vertical="top" wrapText="1"/>
    </xf>
    <xf numFmtId="0" fontId="57" fillId="37" borderId="27" xfId="0" applyFont="1" applyFill="1" applyBorder="1" applyAlignment="1">
      <alignment horizontal="left" vertical="top" wrapText="1"/>
    </xf>
    <xf numFmtId="0" fontId="57" fillId="37" borderId="28" xfId="0" applyFont="1" applyFill="1" applyBorder="1" applyAlignment="1">
      <alignment horizontal="left" vertical="top" wrapText="1"/>
    </xf>
    <xf numFmtId="0" fontId="57" fillId="37" borderId="29" xfId="0" applyFont="1" applyFill="1" applyBorder="1" applyAlignment="1">
      <alignment horizontal="left" vertical="top" wrapText="1"/>
    </xf>
    <xf numFmtId="0" fontId="69" fillId="0" borderId="1" xfId="0" applyFont="1" applyBorder="1" applyAlignment="1">
      <alignment horizontal="left" vertical="top"/>
    </xf>
    <xf numFmtId="0" fontId="41" fillId="0" borderId="19" xfId="0" applyFont="1" applyBorder="1" applyAlignment="1">
      <alignment horizontal="center" vertical="center"/>
    </xf>
    <xf numFmtId="0" fontId="51" fillId="34" borderId="30" xfId="0" applyFont="1" applyFill="1" applyBorder="1" applyAlignment="1">
      <alignment horizontal="center" vertical="center" wrapText="1"/>
    </xf>
    <xf numFmtId="0" fontId="51" fillId="34" borderId="31" xfId="0" applyFont="1" applyFill="1" applyBorder="1" applyAlignment="1">
      <alignment horizontal="center" vertical="center" wrapText="1"/>
    </xf>
    <xf numFmtId="0" fontId="51" fillId="34" borderId="32" xfId="0" applyFont="1" applyFill="1" applyBorder="1" applyAlignment="1">
      <alignment horizontal="center" vertical="center" wrapText="1"/>
    </xf>
    <xf numFmtId="0" fontId="41" fillId="35" borderId="33" xfId="0" applyFont="1" applyFill="1" applyBorder="1" applyAlignment="1">
      <alignment horizontal="center" vertical="center"/>
    </xf>
    <xf numFmtId="0" fontId="41" fillId="35" borderId="34" xfId="0" applyFont="1" applyFill="1" applyBorder="1" applyAlignment="1">
      <alignment horizontal="left" vertical="center" wrapText="1"/>
    </xf>
    <xf numFmtId="0" fontId="41" fillId="35" borderId="34" xfId="0" applyFont="1" applyFill="1" applyBorder="1" applyAlignment="1">
      <alignment horizontal="center" vertical="center"/>
    </xf>
    <xf numFmtId="0" fontId="41" fillId="35" borderId="34" xfId="0" applyFont="1" applyFill="1" applyBorder="1" applyAlignment="1">
      <alignment horizontal="center" vertical="center" wrapText="1"/>
    </xf>
    <xf numFmtId="0" fontId="41" fillId="35" borderId="35" xfId="0" applyFont="1" applyFill="1" applyBorder="1" applyAlignment="1">
      <alignment horizontal="left" vertical="center" wrapText="1"/>
    </xf>
    <xf numFmtId="0" fontId="41" fillId="0" borderId="33" xfId="0" applyFont="1" applyBorder="1" applyAlignment="1">
      <alignment horizontal="center" vertical="center"/>
    </xf>
    <xf numFmtId="0" fontId="41" fillId="0" borderId="34" xfId="0" applyFont="1" applyBorder="1" applyAlignment="1">
      <alignment horizontal="left" vertical="center" wrapText="1"/>
    </xf>
    <xf numFmtId="0" fontId="41" fillId="0" borderId="34" xfId="0" applyFont="1" applyBorder="1" applyAlignment="1">
      <alignment horizontal="center" vertical="center"/>
    </xf>
    <xf numFmtId="0" fontId="41" fillId="0" borderId="34" xfId="0" applyFont="1" applyBorder="1" applyAlignment="1">
      <alignment horizontal="center" vertical="center" wrapText="1"/>
    </xf>
    <xf numFmtId="0" fontId="41" fillId="0" borderId="35" xfId="0" applyFont="1" applyBorder="1" applyAlignment="1">
      <alignment horizontal="left" vertical="center" wrapText="1"/>
    </xf>
    <xf numFmtId="0" fontId="41" fillId="35" borderId="36" xfId="0" applyFont="1" applyFill="1" applyBorder="1" applyAlignment="1">
      <alignment horizontal="center" vertical="center"/>
    </xf>
    <xf numFmtId="0" fontId="41" fillId="35" borderId="37" xfId="0" applyFont="1" applyFill="1" applyBorder="1" applyAlignment="1">
      <alignment horizontal="left" vertical="center" wrapText="1"/>
    </xf>
    <xf numFmtId="0" fontId="41" fillId="35" borderId="37" xfId="0" applyFont="1" applyFill="1" applyBorder="1" applyAlignment="1">
      <alignment horizontal="center" vertical="center"/>
    </xf>
    <xf numFmtId="0" fontId="41" fillId="35" borderId="37" xfId="0" applyFont="1" applyFill="1" applyBorder="1" applyAlignment="1">
      <alignment horizontal="center" vertical="center" wrapText="1"/>
    </xf>
    <xf numFmtId="0" fontId="41" fillId="35" borderId="38" xfId="0" applyFont="1" applyFill="1" applyBorder="1" applyAlignment="1">
      <alignment horizontal="left" vertical="center" wrapText="1"/>
    </xf>
    <xf numFmtId="0" fontId="70" fillId="31" borderId="10" xfId="0" applyFont="1" applyFill="1" applyBorder="1" applyAlignment="1">
      <alignment horizontal="center" vertical="center"/>
    </xf>
    <xf numFmtId="0" fontId="70" fillId="31" borderId="13" xfId="0" applyFont="1" applyFill="1" applyBorder="1" applyAlignment="1">
      <alignment horizontal="center" vertical="center"/>
    </xf>
    <xf numFmtId="0" fontId="70" fillId="31" borderId="1" xfId="0" applyFont="1" applyFill="1" applyBorder="1" applyAlignment="1">
      <alignment horizontal="center" vertical="center"/>
    </xf>
    <xf numFmtId="0" fontId="45" fillId="31" borderId="10" xfId="0" applyFont="1" applyFill="1" applyBorder="1" applyAlignment="1">
      <alignment horizontal="center" vertical="center"/>
    </xf>
    <xf numFmtId="0" fontId="51" fillId="38" borderId="15" xfId="0" applyFont="1" applyFill="1" applyBorder="1" applyAlignment="1">
      <alignment horizontal="center" vertical="top" wrapText="1"/>
    </xf>
    <xf numFmtId="0" fontId="51" fillId="38" borderId="16" xfId="0" applyFont="1" applyFill="1" applyBorder="1" applyAlignment="1">
      <alignment horizontal="center" vertical="top" wrapText="1"/>
    </xf>
    <xf numFmtId="0" fontId="51" fillId="38" borderId="16" xfId="0" applyFont="1" applyFill="1" applyBorder="1" applyAlignment="1">
      <alignment horizontal="center" vertical="top" wrapText="1"/>
    </xf>
    <xf numFmtId="0" fontId="51" fillId="38" borderId="17" xfId="0" applyFont="1" applyFill="1" applyBorder="1" applyAlignment="1">
      <alignment horizontal="center" vertical="top" wrapText="1"/>
    </xf>
    <xf numFmtId="0" fontId="45" fillId="36" borderId="18" xfId="0" applyFont="1" applyFill="1" applyBorder="1" applyAlignment="1">
      <alignment horizontal="center" vertical="center"/>
    </xf>
    <xf numFmtId="0" fontId="50" fillId="0" borderId="19" xfId="0" applyFont="1" applyBorder="1" applyAlignment="1">
      <alignment vertical="center" wrapText="1"/>
    </xf>
    <xf numFmtId="0" fontId="41" fillId="0" borderId="19" xfId="0" applyFont="1" applyBorder="1" applyAlignment="1">
      <alignment vertical="center" wrapText="1"/>
    </xf>
    <xf numFmtId="0" fontId="41" fillId="0" borderId="19" xfId="0" applyFont="1" applyBorder="1" applyAlignment="1">
      <alignment vertical="center" wrapText="1"/>
    </xf>
    <xf numFmtId="0" fontId="50" fillId="0" borderId="19" xfId="0" applyFont="1" applyBorder="1" applyAlignment="1">
      <alignment vertical="center" wrapText="1"/>
    </xf>
    <xf numFmtId="0" fontId="50" fillId="0" borderId="19" xfId="0" applyFont="1" applyBorder="1" applyAlignment="1">
      <alignment horizontal="center" vertical="center"/>
    </xf>
    <xf numFmtId="0" fontId="41" fillId="0" borderId="20" xfId="0" applyFont="1" applyBorder="1" applyAlignment="1">
      <alignment horizontal="center" vertical="center"/>
    </xf>
    <xf numFmtId="0" fontId="45" fillId="33" borderId="18" xfId="0" applyFont="1" applyFill="1" applyBorder="1" applyAlignment="1">
      <alignment horizontal="center" vertical="center"/>
    </xf>
    <xf numFmtId="0" fontId="41" fillId="0" borderId="19" xfId="0" applyFont="1" applyFill="1" applyBorder="1" applyAlignment="1">
      <alignment vertical="center" wrapText="1"/>
    </xf>
    <xf numFmtId="0" fontId="50" fillId="0" borderId="19" xfId="0" applyFont="1" applyFill="1" applyBorder="1" applyAlignment="1">
      <alignment vertical="center" wrapText="1"/>
    </xf>
    <xf numFmtId="0" fontId="45" fillId="33" borderId="21" xfId="0" applyFont="1" applyFill="1" applyBorder="1" applyAlignment="1">
      <alignment horizontal="center" vertical="center"/>
    </xf>
    <xf numFmtId="0" fontId="50" fillId="0" borderId="22" xfId="0" applyFont="1" applyBorder="1" applyAlignment="1">
      <alignment vertical="center" wrapText="1"/>
    </xf>
    <xf numFmtId="0" fontId="41" fillId="0" borderId="22" xfId="0" applyFont="1" applyBorder="1" applyAlignment="1">
      <alignment vertical="center" wrapText="1"/>
    </xf>
    <xf numFmtId="0" fontId="41" fillId="0" borderId="22" xfId="0" applyFont="1" applyFill="1" applyBorder="1" applyAlignment="1">
      <alignment vertical="center" wrapText="1"/>
    </xf>
    <xf numFmtId="0" fontId="50" fillId="0" borderId="22" xfId="0" applyFont="1" applyFill="1" applyBorder="1" applyAlignment="1">
      <alignment vertical="center" wrapText="1"/>
    </xf>
    <xf numFmtId="0" fontId="50" fillId="0" borderId="22" xfId="0" applyFont="1" applyBorder="1" applyAlignment="1">
      <alignment horizontal="center" vertical="center"/>
    </xf>
    <xf numFmtId="0" fontId="41" fillId="0" borderId="22" xfId="0" applyFont="1" applyBorder="1" applyAlignment="1">
      <alignment horizontal="center" vertical="center"/>
    </xf>
    <xf numFmtId="0" fontId="41" fillId="0" borderId="23" xfId="0" applyFont="1" applyBorder="1" applyAlignment="1">
      <alignment horizontal="center" vertical="center"/>
    </xf>
    <xf numFmtId="0" fontId="51" fillId="34" borderId="30" xfId="0" applyFont="1" applyFill="1" applyBorder="1" applyAlignment="1">
      <alignment horizontal="center" vertical="top" wrapText="1"/>
    </xf>
    <xf numFmtId="0" fontId="51" fillId="34" borderId="31" xfId="0" applyFont="1" applyFill="1" applyBorder="1" applyAlignment="1">
      <alignment horizontal="center" vertical="top" wrapText="1"/>
    </xf>
    <xf numFmtId="0" fontId="51" fillId="34" borderId="31" xfId="0" applyFont="1" applyFill="1" applyBorder="1" applyAlignment="1">
      <alignment horizontal="center" vertical="top" wrapText="1"/>
    </xf>
    <xf numFmtId="0" fontId="51" fillId="34" borderId="32" xfId="0" applyFont="1" applyFill="1" applyBorder="1" applyAlignment="1">
      <alignment horizontal="center" vertical="top" wrapText="1"/>
    </xf>
    <xf numFmtId="0" fontId="50" fillId="0" borderId="33" xfId="0" applyFont="1" applyBorder="1" applyAlignment="1">
      <alignment horizontal="left" vertical="center" wrapText="1"/>
    </xf>
    <xf numFmtId="0" fontId="53" fillId="32" borderId="34" xfId="0" applyFont="1" applyFill="1" applyBorder="1" applyAlignment="1">
      <alignment horizontal="center" vertical="center" wrapText="1"/>
    </xf>
    <xf numFmtId="0" fontId="52" fillId="33" borderId="34" xfId="0" applyFont="1" applyFill="1" applyBorder="1" applyAlignment="1">
      <alignment horizontal="center" vertical="center" wrapText="1"/>
    </xf>
    <xf numFmtId="0" fontId="55" fillId="36" borderId="34" xfId="0" applyFont="1" applyFill="1" applyBorder="1" applyAlignment="1">
      <alignment horizontal="center" vertical="center" wrapText="1"/>
    </xf>
    <xf numFmtId="0" fontId="41" fillId="0" borderId="34" xfId="0" applyFont="1" applyBorder="1" applyAlignment="1">
      <alignment horizontal="left" vertical="center" wrapText="1"/>
    </xf>
    <xf numFmtId="0" fontId="41" fillId="0" borderId="35" xfId="0" applyFont="1" applyBorder="1" applyAlignment="1">
      <alignment horizontal="left" vertical="center" wrapText="1"/>
    </xf>
    <xf numFmtId="0" fontId="41" fillId="0" borderId="34" xfId="0" applyFont="1" applyFill="1" applyBorder="1" applyAlignment="1">
      <alignment horizontal="left" vertical="center" wrapText="1"/>
    </xf>
    <xf numFmtId="0" fontId="41" fillId="0" borderId="35" xfId="0" applyFont="1" applyFill="1" applyBorder="1" applyAlignment="1">
      <alignment horizontal="left" vertical="center" wrapText="1"/>
    </xf>
    <xf numFmtId="0" fontId="50" fillId="0" borderId="36" xfId="0" applyFont="1" applyBorder="1" applyAlignment="1">
      <alignment horizontal="left" vertical="center" wrapText="1"/>
    </xf>
    <xf numFmtId="0" fontId="53" fillId="32" borderId="37" xfId="0" applyFont="1" applyFill="1" applyBorder="1" applyAlignment="1">
      <alignment horizontal="center" vertical="center" wrapText="1"/>
    </xf>
    <xf numFmtId="0" fontId="52" fillId="33" borderId="37" xfId="0" applyFont="1" applyFill="1" applyBorder="1" applyAlignment="1">
      <alignment horizontal="center" vertical="center" wrapText="1"/>
    </xf>
    <xf numFmtId="0" fontId="55" fillId="36" borderId="37" xfId="0" applyFont="1" applyFill="1" applyBorder="1" applyAlignment="1">
      <alignment horizontal="center" vertical="center" wrapText="1"/>
    </xf>
    <xf numFmtId="0" fontId="41" fillId="0" borderId="37" xfId="0" applyFont="1" applyFill="1" applyBorder="1" applyAlignment="1">
      <alignment horizontal="left" vertical="center" wrapText="1"/>
    </xf>
    <xf numFmtId="0" fontId="41" fillId="0" borderId="38" xfId="0" applyFont="1" applyFill="1" applyBorder="1" applyAlignment="1">
      <alignment horizontal="left" vertical="center" wrapText="1"/>
    </xf>
    <xf numFmtId="0" fontId="71" fillId="28" borderId="1" xfId="0" applyFont="1" applyFill="1" applyAlignment="1">
      <alignment horizontal="center" vertical="center"/>
    </xf>
    <xf numFmtId="0" fontId="43" fillId="29" borderId="1" xfId="0" applyFont="1" applyFill="1" applyAlignment="1">
      <alignment horizontal="center" vertical="top" wrapText="1"/>
    </xf>
    <xf numFmtId="0" fontId="41" fillId="35" borderId="34" xfId="0" applyFont="1" applyFill="1" applyBorder="1" applyAlignment="1">
      <alignment vertical="center" wrapText="1"/>
    </xf>
    <xf numFmtId="0" fontId="41" fillId="35" borderId="35" xfId="0" applyFont="1" applyFill="1" applyBorder="1" applyAlignment="1">
      <alignment horizontal="center" vertical="center"/>
    </xf>
    <xf numFmtId="0" fontId="41" fillId="0" borderId="34" xfId="0" applyFont="1" applyBorder="1" applyAlignment="1">
      <alignment vertical="center" wrapText="1"/>
    </xf>
    <xf numFmtId="0" fontId="41" fillId="0" borderId="35" xfId="0" applyFont="1" applyBorder="1" applyAlignment="1">
      <alignment horizontal="center" vertical="center"/>
    </xf>
    <xf numFmtId="14" fontId="41" fillId="0" borderId="34" xfId="0" applyNumberFormat="1" applyFont="1" applyBorder="1" applyAlignment="1">
      <alignment horizontal="center" vertical="center"/>
    </xf>
    <xf numFmtId="0" fontId="41" fillId="0" borderId="36" xfId="0" applyFont="1" applyBorder="1" applyAlignment="1">
      <alignment horizontal="center" vertical="center"/>
    </xf>
    <xf numFmtId="0" fontId="41" fillId="0" borderId="37" xfId="0" applyFont="1" applyBorder="1" applyAlignment="1">
      <alignment vertical="center" wrapText="1"/>
    </xf>
    <xf numFmtId="0" fontId="41" fillId="0" borderId="37" xfId="0" applyFont="1" applyBorder="1" applyAlignment="1">
      <alignment horizontal="center" vertical="center" wrapText="1"/>
    </xf>
    <xf numFmtId="0" fontId="41" fillId="0" borderId="37" xfId="0" applyFont="1" applyBorder="1" applyAlignment="1">
      <alignment horizontal="center" vertical="center"/>
    </xf>
    <xf numFmtId="0" fontId="41" fillId="0" borderId="38" xfId="0" applyFont="1" applyBorder="1" applyAlignment="1">
      <alignment horizontal="center" vertical="center"/>
    </xf>
    <xf numFmtId="0" fontId="41" fillId="35" borderId="35" xfId="0" applyFont="1" applyFill="1" applyBorder="1" applyAlignment="1">
      <alignment vertical="center" wrapText="1"/>
    </xf>
    <xf numFmtId="0" fontId="41" fillId="0" borderId="35" xfId="0" applyFont="1" applyBorder="1" applyAlignment="1">
      <alignment vertical="center" wrapText="1"/>
    </xf>
    <xf numFmtId="0" fontId="41" fillId="0" borderId="38" xfId="0" applyFont="1" applyBorder="1" applyAlignment="1">
      <alignment vertical="center" wrapText="1"/>
    </xf>
    <xf numFmtId="0" fontId="23" fillId="6" borderId="2" xfId="0" applyFont="1" applyFill="1" applyBorder="1" applyAlignment="1">
      <alignment horizontal="left" vertical="center" wrapText="1"/>
    </xf>
    <xf numFmtId="0" fontId="16" fillId="34" borderId="30" xfId="0" applyFont="1" applyFill="1" applyBorder="1" applyAlignment="1">
      <alignment horizontal="center" vertical="center" wrapText="1"/>
    </xf>
    <xf numFmtId="0" fontId="16" fillId="34" borderId="31" xfId="0" applyFont="1" applyFill="1" applyBorder="1" applyAlignment="1">
      <alignment horizontal="center" vertical="center" wrapText="1"/>
    </xf>
    <xf numFmtId="166" fontId="16" fillId="34" borderId="31" xfId="0" applyNumberFormat="1" applyFont="1" applyFill="1" applyBorder="1" applyAlignment="1">
      <alignment horizontal="center" vertical="center" wrapText="1"/>
    </xf>
    <xf numFmtId="0" fontId="16" fillId="34" borderId="32" xfId="0" applyFont="1" applyFill="1" applyBorder="1" applyAlignment="1">
      <alignment horizontal="center" vertical="center" wrapText="1"/>
    </xf>
    <xf numFmtId="0" fontId="73" fillId="0" borderId="1" xfId="0" applyFont="1" applyFill="1" applyBorder="1">
      <alignment vertical="top"/>
    </xf>
    <xf numFmtId="0" fontId="69" fillId="0" borderId="1" xfId="0" applyFont="1" applyFill="1" applyBorder="1">
      <alignment vertical="top"/>
    </xf>
    <xf numFmtId="0" fontId="38" fillId="0" borderId="33" xfId="0" applyFont="1" applyFill="1" applyBorder="1" applyAlignment="1">
      <alignment horizontal="left" vertical="center" wrapText="1"/>
    </xf>
    <xf numFmtId="0" fontId="38" fillId="0" borderId="34" xfId="0" applyFont="1" applyFill="1" applyBorder="1" applyAlignment="1">
      <alignment horizontal="center" vertical="center"/>
    </xf>
    <xf numFmtId="173" fontId="38" fillId="0" borderId="34" xfId="0" applyNumberFormat="1" applyFont="1" applyFill="1" applyBorder="1" applyAlignment="1">
      <alignment horizontal="center" vertical="center"/>
    </xf>
    <xf numFmtId="0" fontId="38" fillId="0" borderId="34" xfId="0" applyFont="1" applyFill="1" applyBorder="1" applyAlignment="1">
      <alignment horizontal="left" vertical="center" wrapText="1"/>
    </xf>
    <xf numFmtId="0" fontId="75" fillId="0" borderId="1" xfId="0" applyFont="1" applyFill="1" applyBorder="1" applyAlignment="1">
      <alignment vertical="center"/>
    </xf>
    <xf numFmtId="0" fontId="75" fillId="0" borderId="1" xfId="0" applyFont="1" applyFill="1" applyBorder="1" applyAlignment="1">
      <alignment horizontal="center" vertical="center"/>
    </xf>
    <xf numFmtId="164" fontId="75" fillId="0" borderId="1" xfId="0" applyNumberFormat="1" applyFont="1" applyFill="1" applyBorder="1" applyAlignment="1">
      <alignment horizontal="center" vertical="center"/>
    </xf>
    <xf numFmtId="0" fontId="75" fillId="0" borderId="1" xfId="0" applyFont="1" applyFill="1" applyBorder="1" applyAlignment="1">
      <alignment horizontal="left" vertical="center" wrapText="1"/>
    </xf>
    <xf numFmtId="173" fontId="75" fillId="0" borderId="1" xfId="0" applyNumberFormat="1" applyFont="1" applyFill="1" applyBorder="1" applyAlignment="1">
      <alignment horizontal="center" vertical="center"/>
    </xf>
    <xf numFmtId="0" fontId="73" fillId="0" borderId="1" xfId="0" applyFont="1" applyFill="1" applyBorder="1" applyAlignment="1">
      <alignment horizontal="left" vertical="center" wrapText="1"/>
    </xf>
    <xf numFmtId="0" fontId="73" fillId="0" borderId="1" xfId="0" applyFont="1" applyFill="1" applyBorder="1" applyAlignment="1">
      <alignment horizontal="center" vertical="center" wrapText="1"/>
    </xf>
    <xf numFmtId="14" fontId="73" fillId="0" borderId="1" xfId="0" applyNumberFormat="1" applyFont="1" applyFill="1" applyBorder="1" applyAlignment="1">
      <alignment horizontal="center" vertical="center"/>
    </xf>
    <xf numFmtId="0" fontId="73" fillId="0" borderId="1" xfId="0" applyFont="1" applyFill="1" applyBorder="1" applyAlignment="1">
      <alignment horizontal="center" vertical="center"/>
    </xf>
    <xf numFmtId="0" fontId="73" fillId="0" borderId="1" xfId="0" applyFont="1" applyFill="1" applyBorder="1" applyAlignment="1">
      <alignment vertical="center"/>
    </xf>
    <xf numFmtId="166" fontId="75" fillId="0" borderId="1" xfId="0" applyNumberFormat="1" applyFont="1" applyFill="1" applyBorder="1" applyAlignment="1">
      <alignment horizontal="center" vertical="center"/>
    </xf>
    <xf numFmtId="0" fontId="75" fillId="0" borderId="1" xfId="0" applyFont="1" applyFill="1" applyBorder="1" applyAlignment="1">
      <alignment horizontal="left" vertical="center"/>
    </xf>
    <xf numFmtId="0" fontId="76" fillId="28" borderId="1" xfId="0" applyFont="1" applyFill="1" applyBorder="1" applyAlignment="1">
      <alignment horizontal="center" vertical="center"/>
    </xf>
    <xf numFmtId="0" fontId="77" fillId="29" borderId="1" xfId="0" applyFont="1" applyFill="1" applyBorder="1" applyAlignment="1">
      <alignment horizontal="center" vertical="center" wrapText="1"/>
    </xf>
    <xf numFmtId="0" fontId="78" fillId="30" borderId="1" xfId="0" applyFont="1" applyFill="1" applyBorder="1" applyAlignment="1">
      <alignment horizontal="center" vertical="center"/>
    </xf>
    <xf numFmtId="0" fontId="79" fillId="0" borderId="39" xfId="0" applyFont="1" applyFill="1" applyBorder="1" applyAlignment="1">
      <alignment horizontal="center" vertical="center"/>
    </xf>
    <xf numFmtId="0" fontId="73" fillId="0" borderId="39" xfId="0" applyFont="1" applyFill="1" applyBorder="1">
      <alignment vertical="top"/>
    </xf>
    <xf numFmtId="0" fontId="75" fillId="0" borderId="39" xfId="0" applyFont="1" applyFill="1" applyBorder="1" applyAlignment="1">
      <alignment horizontal="center" vertical="center"/>
    </xf>
    <xf numFmtId="0" fontId="79" fillId="0" borderId="1" xfId="0" applyFont="1" applyFill="1" applyBorder="1" applyAlignment="1">
      <alignment horizontal="left" vertical="top"/>
    </xf>
    <xf numFmtId="0" fontId="75" fillId="0" borderId="40" xfId="0" applyFont="1" applyFill="1" applyBorder="1" applyAlignment="1">
      <alignment horizontal="left" vertical="top" wrapText="1"/>
    </xf>
    <xf numFmtId="0" fontId="80" fillId="0" borderId="40" xfId="0" applyFont="1" applyFill="1" applyBorder="1" applyAlignment="1">
      <alignment horizontal="left" vertical="top" wrapText="1"/>
    </xf>
    <xf numFmtId="0" fontId="0" fillId="0" borderId="40" xfId="0" applyBorder="1">
      <alignment vertical="top"/>
    </xf>
    <xf numFmtId="0" fontId="72" fillId="0" borderId="40" xfId="0" applyFont="1" applyBorder="1" applyAlignment="1">
      <alignment horizontal="left" vertical="top" wrapText="1"/>
    </xf>
    <xf numFmtId="164" fontId="16" fillId="34" borderId="31" xfId="0" applyNumberFormat="1" applyFont="1" applyFill="1" applyBorder="1" applyAlignment="1">
      <alignment horizontal="center" vertical="center" wrapText="1"/>
    </xf>
    <xf numFmtId="0" fontId="38" fillId="0" borderId="33" xfId="0" applyFont="1" applyFill="1" applyBorder="1" applyAlignment="1">
      <alignment horizontal="center" vertical="center"/>
    </xf>
    <xf numFmtId="164" fontId="38" fillId="0" borderId="34" xfId="0" applyNumberFormat="1" applyFont="1" applyFill="1" applyBorder="1" applyAlignment="1">
      <alignment horizontal="center" vertical="center"/>
    </xf>
    <xf numFmtId="0" fontId="38" fillId="0" borderId="35" xfId="0" applyFont="1" applyFill="1" applyBorder="1" applyAlignment="1">
      <alignment horizontal="left" vertical="center"/>
    </xf>
    <xf numFmtId="0" fontId="38" fillId="35" borderId="33" xfId="0" applyFont="1" applyFill="1" applyBorder="1" applyAlignment="1">
      <alignment horizontal="center" vertical="center"/>
    </xf>
    <xf numFmtId="0" fontId="38" fillId="35" borderId="34" xfId="0" applyFont="1" applyFill="1" applyBorder="1" applyAlignment="1">
      <alignment horizontal="center" vertical="center"/>
    </xf>
    <xf numFmtId="164" fontId="38" fillId="35" borderId="34" xfId="0" applyNumberFormat="1" applyFont="1" applyFill="1" applyBorder="1" applyAlignment="1">
      <alignment horizontal="center" vertical="center"/>
    </xf>
    <xf numFmtId="0" fontId="38" fillId="35" borderId="35" xfId="0" applyFont="1" applyFill="1" applyBorder="1" applyAlignment="1">
      <alignment horizontal="left" vertical="center"/>
    </xf>
    <xf numFmtId="0" fontId="38" fillId="0" borderId="36" xfId="0" applyFont="1" applyFill="1" applyBorder="1" applyAlignment="1">
      <alignment horizontal="center" vertical="center"/>
    </xf>
    <xf numFmtId="0" fontId="38" fillId="0" borderId="37" xfId="0" applyFont="1" applyFill="1" applyBorder="1" applyAlignment="1">
      <alignment horizontal="center" vertical="center"/>
    </xf>
    <xf numFmtId="164" fontId="38" fillId="0" borderId="37" xfId="0" applyNumberFormat="1" applyFont="1" applyFill="1" applyBorder="1" applyAlignment="1">
      <alignment horizontal="center" vertical="center"/>
    </xf>
    <xf numFmtId="0" fontId="38" fillId="0" borderId="38" xfId="0" applyFont="1" applyFill="1" applyBorder="1" applyAlignment="1">
      <alignment horizontal="left" vertical="center"/>
    </xf>
    <xf numFmtId="0" fontId="38" fillId="35" borderId="34" xfId="0" applyFont="1" applyFill="1" applyBorder="1" applyAlignment="1">
      <alignment horizontal="left" vertical="center" wrapText="1"/>
    </xf>
    <xf numFmtId="0" fontId="38" fillId="0" borderId="37" xfId="0" applyFont="1" applyFill="1" applyBorder="1" applyAlignment="1">
      <alignment horizontal="left" vertical="center" wrapText="1"/>
    </xf>
    <xf numFmtId="0" fontId="38" fillId="0" borderId="34" xfId="0" applyFont="1" applyFill="1" applyBorder="1" applyAlignment="1">
      <alignment horizontal="center" vertical="center" wrapText="1"/>
    </xf>
    <xf numFmtId="0" fontId="38" fillId="0" borderId="35" xfId="0" applyFont="1" applyFill="1" applyBorder="1" applyAlignment="1">
      <alignment horizontal="center" vertical="center"/>
    </xf>
    <xf numFmtId="0" fontId="38" fillId="35" borderId="33" xfId="0" applyFont="1" applyFill="1" applyBorder="1" applyAlignment="1">
      <alignment horizontal="left" vertical="center" wrapText="1"/>
    </xf>
    <xf numFmtId="0" fontId="38" fillId="35" borderId="34" xfId="0" applyFont="1" applyFill="1" applyBorder="1" applyAlignment="1">
      <alignment horizontal="center" vertical="center" wrapText="1"/>
    </xf>
    <xf numFmtId="0" fontId="38" fillId="35" borderId="35" xfId="0" applyFont="1" applyFill="1" applyBorder="1" applyAlignment="1">
      <alignment horizontal="center" vertical="center"/>
    </xf>
    <xf numFmtId="0" fontId="38" fillId="0" borderId="36" xfId="0" applyFont="1" applyFill="1" applyBorder="1" applyAlignment="1">
      <alignment horizontal="left" vertical="center" wrapText="1"/>
    </xf>
    <xf numFmtId="0" fontId="38" fillId="0" borderId="37" xfId="0" applyFont="1" applyFill="1" applyBorder="1" applyAlignment="1">
      <alignment horizontal="center" vertical="center" wrapText="1"/>
    </xf>
    <xf numFmtId="0" fontId="38" fillId="0" borderId="38" xfId="0" applyFont="1" applyFill="1" applyBorder="1" applyAlignment="1">
      <alignment horizontal="center" vertical="center"/>
    </xf>
    <xf numFmtId="166" fontId="38" fillId="35" borderId="34" xfId="0" applyNumberFormat="1" applyFont="1" applyFill="1" applyBorder="1" applyAlignment="1">
      <alignment horizontal="center" vertical="center"/>
    </xf>
    <xf numFmtId="0" fontId="38" fillId="35" borderId="35" xfId="0" applyFont="1" applyFill="1" applyBorder="1" applyAlignment="1">
      <alignment horizontal="left" vertical="center" wrapText="1"/>
    </xf>
    <xf numFmtId="166" fontId="38" fillId="0" borderId="34" xfId="0" applyNumberFormat="1" applyFont="1" applyFill="1" applyBorder="1" applyAlignment="1">
      <alignment horizontal="center" vertical="center"/>
    </xf>
    <xf numFmtId="0" fontId="38" fillId="0" borderId="35" xfId="0" applyFont="1" applyFill="1" applyBorder="1" applyAlignment="1">
      <alignment horizontal="left" vertical="center" wrapText="1"/>
    </xf>
    <xf numFmtId="14" fontId="38" fillId="35" borderId="34" xfId="0" applyNumberFormat="1" applyFont="1" applyFill="1" applyBorder="1" applyAlignment="1">
      <alignment horizontal="center" vertical="center"/>
    </xf>
    <xf numFmtId="14" fontId="38" fillId="0" borderId="34" xfId="0" applyNumberFormat="1" applyFont="1" applyFill="1" applyBorder="1" applyAlignment="1">
      <alignment horizontal="center" vertical="center"/>
    </xf>
    <xf numFmtId="0" fontId="38" fillId="0" borderId="36" xfId="0" applyFont="1" applyFill="1" applyBorder="1" applyAlignment="1">
      <alignment horizontal="center" vertical="center" wrapText="1"/>
    </xf>
    <xf numFmtId="14" fontId="38" fillId="0" borderId="37" xfId="0" applyNumberFormat="1" applyFont="1" applyFill="1" applyBorder="1" applyAlignment="1">
      <alignment horizontal="center" vertical="center" wrapText="1"/>
    </xf>
    <xf numFmtId="0" fontId="38" fillId="0" borderId="38" xfId="0" applyFont="1" applyFill="1" applyBorder="1" applyAlignment="1">
      <alignment horizontal="center" vertical="center" wrapText="1"/>
    </xf>
    <xf numFmtId="0" fontId="81" fillId="35" borderId="33" xfId="0" applyFont="1" applyFill="1" applyBorder="1" applyAlignment="1">
      <alignment horizontal="center" vertical="center"/>
    </xf>
    <xf numFmtId="0" fontId="38" fillId="35" borderId="34" xfId="0" applyFont="1" applyFill="1" applyBorder="1" applyAlignment="1">
      <alignment vertical="center" wrapText="1"/>
    </xf>
    <xf numFmtId="0" fontId="38" fillId="35" borderId="35" xfId="0" applyFont="1" applyFill="1" applyBorder="1" applyAlignment="1">
      <alignment vertical="center" wrapText="1"/>
    </xf>
    <xf numFmtId="173" fontId="16" fillId="34" borderId="31" xfId="0" applyNumberFormat="1" applyFont="1" applyFill="1" applyBorder="1" applyAlignment="1">
      <alignment horizontal="center" vertical="center" wrapText="1"/>
    </xf>
    <xf numFmtId="173" fontId="38" fillId="35" borderId="34" xfId="0" applyNumberFormat="1" applyFont="1" applyFill="1" applyBorder="1" applyAlignment="1">
      <alignment horizontal="center" vertical="center"/>
    </xf>
    <xf numFmtId="0" fontId="38" fillId="0" borderId="33" xfId="0" applyFont="1" applyFill="1" applyBorder="1" applyAlignment="1">
      <alignment vertical="center" wrapText="1"/>
    </xf>
    <xf numFmtId="0" fontId="81" fillId="35" borderId="33" xfId="0" applyFont="1" applyFill="1" applyBorder="1" applyAlignment="1">
      <alignment vertical="center" wrapText="1"/>
    </xf>
    <xf numFmtId="0" fontId="20" fillId="29" borderId="36" xfId="0" applyFont="1" applyFill="1" applyBorder="1" applyAlignment="1">
      <alignment horizontal="center" vertical="center" wrapText="1"/>
    </xf>
    <xf numFmtId="0" fontId="20" fillId="29" borderId="37" xfId="0" applyFont="1" applyFill="1" applyBorder="1" applyAlignment="1">
      <alignment horizontal="center" vertical="center" wrapText="1"/>
    </xf>
    <xf numFmtId="173" fontId="20" fillId="29" borderId="37" xfId="0" applyNumberFormat="1" applyFont="1" applyFill="1" applyBorder="1" applyAlignment="1">
      <alignment horizontal="center" vertical="center" wrapText="1"/>
    </xf>
    <xf numFmtId="0" fontId="20" fillId="29" borderId="38" xfId="0" applyFont="1" applyFill="1" applyBorder="1" applyAlignment="1">
      <alignment horizontal="center" vertical="center" wrapText="1"/>
    </xf>
    <xf numFmtId="14" fontId="16" fillId="34" borderId="31" xfId="0" applyNumberFormat="1" applyFont="1" applyFill="1" applyBorder="1" applyAlignment="1">
      <alignment horizontal="center" vertical="center" wrapText="1"/>
    </xf>
    <xf numFmtId="0" fontId="74" fillId="0" borderId="35" xfId="0" applyFont="1" applyFill="1" applyBorder="1" applyAlignment="1">
      <alignment vertical="center"/>
    </xf>
    <xf numFmtId="0" fontId="74" fillId="35" borderId="35" xfId="0" applyFont="1" applyFill="1" applyBorder="1" applyAlignment="1">
      <alignment vertical="center"/>
    </xf>
    <xf numFmtId="0" fontId="82" fillId="35" borderId="36" xfId="0" applyFont="1" applyFill="1" applyBorder="1" applyAlignment="1">
      <alignment horizontal="left" vertical="center" wrapText="1"/>
    </xf>
    <xf numFmtId="0" fontId="38" fillId="35" borderId="37" xfId="0" applyFont="1" applyFill="1" applyBorder="1" applyAlignment="1">
      <alignment horizontal="left" vertical="center" wrapText="1"/>
    </xf>
    <xf numFmtId="0" fontId="38" fillId="35" borderId="38" xfId="0" applyFont="1" applyFill="1" applyBorder="1" applyAlignment="1">
      <alignment horizontal="left" vertical="center" wrapText="1"/>
    </xf>
    <xf numFmtId="0" fontId="38" fillId="35" borderId="37" xfId="0" applyFont="1" applyFill="1" applyBorder="1" applyAlignment="1">
      <alignment horizontal="center" vertical="center" wrapText="1"/>
    </xf>
    <xf numFmtId="0" fontId="38" fillId="0" borderId="34" xfId="0" applyFont="1" applyFill="1" applyBorder="1" applyAlignment="1">
      <alignment vertical="center" wrapText="1"/>
    </xf>
    <xf numFmtId="14" fontId="38" fillId="35" borderId="37" xfId="0" applyNumberFormat="1" applyFont="1" applyFill="1" applyBorder="1" applyAlignment="1">
      <alignment horizontal="center" vertical="center" wrapText="1"/>
    </xf>
    <xf numFmtId="0" fontId="79" fillId="0" borderId="39" xfId="0" applyFont="1" applyFill="1" applyBorder="1" applyAlignment="1">
      <alignment horizontal="left" vertical="top"/>
    </xf>
    <xf numFmtId="0" fontId="83" fillId="0" borderId="39" xfId="0" applyFont="1" applyFill="1" applyBorder="1" applyAlignment="1">
      <alignment horizontal="left" vertical="top" wrapText="1"/>
    </xf>
    <xf numFmtId="0" fontId="74" fillId="35" borderId="1" xfId="0" applyFont="1" applyFill="1" applyBorder="1" applyAlignment="1">
      <alignment horizontal="center" vertical="center"/>
    </xf>
    <xf numFmtId="0" fontId="38" fillId="0" borderId="33" xfId="0" applyFont="1" applyFill="1" applyBorder="1" applyAlignment="1">
      <alignment horizontal="left" vertical="center"/>
    </xf>
    <xf numFmtId="0" fontId="38" fillId="35" borderId="41" xfId="0" applyFont="1" applyFill="1" applyBorder="1" applyAlignment="1">
      <alignment horizontal="left" vertical="center"/>
    </xf>
    <xf numFmtId="0" fontId="38" fillId="35" borderId="42" xfId="0" applyFont="1" applyFill="1" applyBorder="1" applyAlignment="1">
      <alignment horizontal="center" vertical="center"/>
    </xf>
    <xf numFmtId="14" fontId="38" fillId="35" borderId="42" xfId="0" applyNumberFormat="1" applyFont="1" applyFill="1" applyBorder="1" applyAlignment="1">
      <alignment horizontal="center" vertical="center"/>
    </xf>
    <xf numFmtId="0" fontId="38" fillId="35" borderId="42" xfId="0" applyFont="1" applyFill="1" applyBorder="1" applyAlignment="1">
      <alignment horizontal="left" vertical="center" wrapText="1"/>
    </xf>
    <xf numFmtId="0" fontId="74" fillId="35" borderId="43" xfId="0" applyFont="1" applyFill="1" applyBorder="1" applyAlignment="1">
      <alignment vertical="center"/>
    </xf>
    <xf numFmtId="0" fontId="38" fillId="0" borderId="36" xfId="0" applyFont="1" applyFill="1" applyBorder="1" applyAlignment="1">
      <alignment horizontal="left" vertical="center"/>
    </xf>
    <xf numFmtId="14" fontId="38" fillId="0" borderId="37" xfId="0" applyNumberFormat="1" applyFont="1" applyFill="1" applyBorder="1" applyAlignment="1">
      <alignment horizontal="center" vertical="center"/>
    </xf>
    <xf numFmtId="0" fontId="38" fillId="0" borderId="37" xfId="0" applyFont="1" applyFill="1" applyBorder="1" applyAlignment="1">
      <alignment vertical="center" wrapText="1"/>
    </xf>
    <xf numFmtId="0" fontId="74" fillId="0" borderId="38" xfId="0" applyFont="1" applyFill="1" applyBorder="1" applyAlignment="1">
      <alignment vertical="center"/>
    </xf>
    <xf numFmtId="14" fontId="74" fillId="35" borderId="1" xfId="0" applyNumberFormat="1" applyFont="1" applyFill="1" applyBorder="1" applyAlignment="1">
      <alignment horizontal="center" vertical="center"/>
    </xf>
    <xf numFmtId="0" fontId="74" fillId="35" borderId="1" xfId="0" applyFont="1" applyFill="1" applyBorder="1" applyAlignment="1">
      <alignment horizontal="center" vertical="center" wrapText="1"/>
    </xf>
    <xf numFmtId="0" fontId="74" fillId="35" borderId="10" xfId="0" applyFont="1" applyFill="1" applyBorder="1" applyAlignment="1">
      <alignment horizontal="left" vertical="center"/>
    </xf>
    <xf numFmtId="0" fontId="74" fillId="35" borderId="13" xfId="0" applyFont="1" applyFill="1" applyBorder="1" applyAlignment="1">
      <alignment horizontal="center" vertical="center"/>
    </xf>
    <xf numFmtId="0" fontId="65" fillId="0" borderId="7" xfId="0" applyFont="1" applyFill="1" applyBorder="1" applyAlignment="1">
      <alignment horizontal="center" vertical="center"/>
    </xf>
    <xf numFmtId="49" fontId="13" fillId="0" borderId="0" xfId="0" applyNumberFormat="1" applyFont="1" applyBorder="1" applyAlignment="1">
      <alignment vertical="top" wrapText="1"/>
    </xf>
    <xf numFmtId="0" fontId="19" fillId="6" borderId="2" xfId="0" applyFont="1" applyFill="1" applyBorder="1" applyAlignment="1">
      <alignment vertical="center" wrapText="1"/>
    </xf>
    <xf numFmtId="0" fontId="23" fillId="0" borderId="2" xfId="0" applyFont="1" applyBorder="1" applyAlignment="1">
      <alignment horizontal="left" vertical="center" wrapText="1"/>
    </xf>
    <xf numFmtId="0" fontId="0" fillId="0" borderId="1" xfId="0" applyAlignment="1">
      <alignment vertical="top" wrapText="1"/>
    </xf>
    <xf numFmtId="0" fontId="42" fillId="29" borderId="1" xfId="0" applyFont="1" applyFill="1" applyAlignment="1">
      <alignment horizontal="center" vertical="top" wrapText="1"/>
    </xf>
    <xf numFmtId="0" fontId="84" fillId="34" borderId="15" xfId="0" applyFont="1" applyFill="1" applyBorder="1" applyAlignment="1">
      <alignment horizontal="center" vertical="top"/>
    </xf>
    <xf numFmtId="0" fontId="84" fillId="34" borderId="16" xfId="0" applyFont="1" applyFill="1" applyBorder="1" applyAlignment="1">
      <alignment horizontal="center" vertical="top"/>
    </xf>
    <xf numFmtId="0" fontId="84" fillId="34" borderId="17" xfId="0" applyFont="1" applyFill="1" applyBorder="1" applyAlignment="1">
      <alignment horizontal="center" vertical="top"/>
    </xf>
    <xf numFmtId="0" fontId="41" fillId="35" borderId="18" xfId="0" applyFont="1" applyFill="1" applyBorder="1" applyAlignment="1">
      <alignment horizontal="center" vertical="top"/>
    </xf>
    <xf numFmtId="0" fontId="41" fillId="35" borderId="19" xfId="0" applyFont="1" applyFill="1" applyBorder="1" applyAlignment="1">
      <alignment vertical="top" wrapText="1"/>
    </xf>
    <xf numFmtId="0" fontId="41" fillId="35" borderId="20" xfId="0" applyFont="1" applyFill="1" applyBorder="1">
      <alignment vertical="top"/>
    </xf>
    <xf numFmtId="0" fontId="41" fillId="0" borderId="18" xfId="0" applyFont="1" applyBorder="1" applyAlignment="1">
      <alignment horizontal="center" vertical="top"/>
    </xf>
    <xf numFmtId="0" fontId="41" fillId="0" borderId="19" xfId="0" applyFont="1" applyBorder="1" applyAlignment="1">
      <alignment vertical="top" wrapText="1"/>
    </xf>
    <xf numFmtId="0" fontId="41" fillId="0" borderId="20" xfId="0" applyFont="1" applyBorder="1">
      <alignment vertical="top"/>
    </xf>
    <xf numFmtId="0" fontId="41" fillId="0" borderId="21" xfId="0" applyFont="1" applyBorder="1" applyAlignment="1">
      <alignment horizontal="center" vertical="top"/>
    </xf>
    <xf numFmtId="0" fontId="41" fillId="0" borderId="22" xfId="0" applyFont="1" applyBorder="1" applyAlignment="1">
      <alignment vertical="top" wrapText="1"/>
    </xf>
    <xf numFmtId="0" fontId="41" fillId="0" borderId="23" xfId="0" applyFont="1" applyBorder="1">
      <alignment vertical="top"/>
    </xf>
    <xf numFmtId="0" fontId="85" fillId="28" borderId="1" xfId="0" applyFont="1" applyFill="1" applyAlignment="1">
      <alignment horizontal="center" vertical="top"/>
    </xf>
    <xf numFmtId="0" fontId="64" fillId="37" borderId="1" xfId="0" applyFont="1" applyFill="1" applyAlignment="1">
      <alignment horizontal="center" vertical="top" wrapText="1"/>
    </xf>
    <xf numFmtId="0" fontId="86" fillId="39" borderId="1" xfId="0" applyFont="1" applyFill="1" applyAlignment="1">
      <alignment vertical="top" wrapText="1"/>
    </xf>
    <xf numFmtId="0" fontId="51" fillId="34" borderId="32" xfId="0" applyFont="1" applyFill="1" applyBorder="1" applyAlignment="1">
      <alignment horizontal="center" vertical="top" wrapText="1"/>
    </xf>
    <xf numFmtId="0" fontId="86" fillId="39" borderId="33" xfId="0" applyFont="1" applyFill="1" applyBorder="1" applyAlignment="1">
      <alignment vertical="top" wrapText="1"/>
    </xf>
    <xf numFmtId="0" fontId="86" fillId="39" borderId="34" xfId="0" applyFont="1" applyFill="1" applyBorder="1" applyAlignment="1">
      <alignment vertical="top" wrapText="1"/>
    </xf>
    <xf numFmtId="0" fontId="86" fillId="39" borderId="35" xfId="0" applyFont="1" applyFill="1" applyBorder="1" applyAlignment="1">
      <alignment vertical="top" wrapText="1"/>
    </xf>
    <xf numFmtId="0" fontId="0" fillId="0" borderId="33" xfId="0" applyBorder="1">
      <alignment vertical="top"/>
    </xf>
    <xf numFmtId="0" fontId="0" fillId="0" borderId="34" xfId="0" applyBorder="1">
      <alignment vertical="top"/>
    </xf>
    <xf numFmtId="0" fontId="0" fillId="0" borderId="35" xfId="0" applyBorder="1">
      <alignment vertical="top"/>
    </xf>
    <xf numFmtId="0" fontId="0" fillId="0" borderId="36" xfId="0" applyBorder="1">
      <alignment vertical="top"/>
    </xf>
    <xf numFmtId="0" fontId="0" fillId="0" borderId="37" xfId="0" applyBorder="1">
      <alignment vertical="top"/>
    </xf>
    <xf numFmtId="0" fontId="0" fillId="0" borderId="38" xfId="0" applyBorder="1">
      <alignment vertical="top"/>
    </xf>
    <xf numFmtId="0" fontId="87" fillId="0" borderId="1" xfId="0" applyFont="1">
      <alignment vertical="top"/>
    </xf>
    <xf numFmtId="0" fontId="84" fillId="34" borderId="1" xfId="0" applyFont="1" applyFill="1" applyAlignment="1">
      <alignment horizontal="center" vertical="top" wrapText="1"/>
    </xf>
  </cellXfs>
  <cellStyles count="1">
    <cellStyle name="Normal" xfId="0" builtinId="0"/>
  </cellStyles>
  <dxfs count="98">
    <dxf>
      <font>
        <color rgb="FF006100"/>
      </font>
      <fill>
        <patternFill patternType="solid">
          <fgColor indexed="64"/>
          <bgColor rgb="FFC6EFCE"/>
        </patternFill>
      </fill>
    </dxf>
    <dxf>
      <font>
        <color rgb="FF2F5597"/>
      </font>
      <fill>
        <patternFill patternType="solid">
          <fgColor indexed="64"/>
          <bgColor rgb="FFD6E4F0"/>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2F5597"/>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808080"/>
      </font>
      <fill>
        <patternFill patternType="solid">
          <fgColor indexed="64"/>
          <bgColor rgb="FFF2F2F2"/>
        </patternFill>
      </fill>
    </dxf>
    <dxf>
      <font>
        <color rgb="FF9C6500"/>
      </font>
      <fill>
        <patternFill patternType="solid">
          <fgColor indexed="64"/>
          <bgColor rgb="FFFFEB9C"/>
        </patternFill>
      </fill>
    </dxf>
    <dxf>
      <font>
        <color rgb="FF2F5597"/>
      </font>
      <fill>
        <patternFill patternType="solid">
          <fgColor indexed="64"/>
          <bgColor rgb="FFD6E4F0"/>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2F5597"/>
      </font>
      <fill>
        <patternFill patternType="solid">
          <fgColor indexed="64"/>
          <bgColor rgb="FFD6E4F0"/>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2F5597"/>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2F5597"/>
      </font>
      <fill>
        <patternFill patternType="solid">
          <fgColor indexed="64"/>
          <bgColor rgb="FFD6E4F0"/>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SO%2042001%20Audit%20Readiness%20Matri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Evidence%20Register"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nagement%20Review%20and%20Internal%20Audit%20Tracke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O 42001 Audit Readiness Matri"/>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dence Register"/>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agement Review and Internal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9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8937CD-636F-4021-80C4-F0406429070E}">
  <we:reference id="wa200010472" version="1.0.8.0" store="en-US" storeType="OMEX"/>
  <we:alternateReferences>
    <we:reference id="WA200010472" version="1.0.8.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DC628-8D4E-33F8-FC47-376ECD8433F8}">
  <sheetPr>
    <tabColor rgb="FF1F3864"/>
  </sheetPr>
  <dimension ref="A1:L120"/>
  <sheetViews>
    <sheetView workbookViewId="0">
      <selection activeCell="O25" sqref="O25"/>
    </sheetView>
  </sheetViews>
  <sheetFormatPr defaultColWidth="8.85546875" defaultRowHeight="15" customHeight="1"/>
  <cols>
    <col min="1" max="1" width="4.140625" customWidth="1"/>
    <col min="2" max="3" width="3.42578125" customWidth="1"/>
    <col min="4" max="4" width="4.140625" customWidth="1"/>
    <col min="5" max="5" width="3.5703125" customWidth="1"/>
    <col min="6" max="6" width="37.85546875" customWidth="1"/>
    <col min="7" max="7" width="18.5703125" bestFit="1" customWidth="1"/>
    <col min="8" max="8" width="15" bestFit="1" customWidth="1"/>
    <col min="9" max="9" width="17.5703125" bestFit="1" customWidth="1"/>
    <col min="10" max="10" width="15" bestFit="1" customWidth="1"/>
    <col min="11" max="12" width="3.42578125" customWidth="1"/>
  </cols>
  <sheetData>
    <row r="1" spans="1:12" ht="42" customHeight="1">
      <c r="A1" s="250" t="s">
        <v>3449</v>
      </c>
      <c r="B1" s="250"/>
      <c r="C1" s="250"/>
      <c r="D1" s="250"/>
      <c r="E1" s="250"/>
      <c r="F1" s="250"/>
      <c r="G1" s="250"/>
      <c r="H1" s="250"/>
      <c r="I1" s="250"/>
      <c r="J1" s="250"/>
      <c r="K1" s="250"/>
      <c r="L1" s="250"/>
    </row>
    <row r="2" spans="1:12" ht="32.1" customHeight="1">
      <c r="A2" s="251" t="s">
        <v>3450</v>
      </c>
      <c r="B2" s="251"/>
      <c r="C2" s="251"/>
      <c r="D2" s="251"/>
      <c r="E2" s="251"/>
      <c r="F2" s="251"/>
      <c r="G2" s="251"/>
      <c r="H2" s="251"/>
      <c r="I2" s="251"/>
      <c r="J2" s="251"/>
      <c r="K2" s="251"/>
      <c r="L2" s="251"/>
    </row>
    <row r="3" spans="1:12" ht="21.95" customHeight="1">
      <c r="A3" s="252" t="s">
        <v>3451</v>
      </c>
      <c r="B3" s="252"/>
      <c r="C3" s="252"/>
      <c r="D3" s="252"/>
      <c r="E3" s="252"/>
      <c r="F3" s="252"/>
      <c r="G3" s="252"/>
      <c r="H3" s="252"/>
      <c r="I3" s="252"/>
      <c r="J3" s="252"/>
      <c r="K3" s="252"/>
      <c r="L3" s="252"/>
    </row>
    <row r="4" spans="1:12" ht="8.1" customHeight="1"/>
    <row r="5" spans="1:12" ht="27.95" customHeight="1">
      <c r="A5" s="253" t="s">
        <v>189</v>
      </c>
      <c r="B5" s="253"/>
      <c r="C5" s="253"/>
      <c r="D5" s="253"/>
      <c r="E5" s="253"/>
      <c r="F5" s="253"/>
      <c r="G5" s="253"/>
      <c r="H5" s="253"/>
      <c r="I5" s="253"/>
      <c r="J5" s="253"/>
      <c r="K5" s="253"/>
      <c r="L5" s="253"/>
    </row>
    <row r="6" spans="1:12" ht="20.100000000000001" customHeight="1">
      <c r="A6" s="257" t="s">
        <v>3534</v>
      </c>
      <c r="B6" s="258"/>
      <c r="C6" s="258"/>
      <c r="D6" s="257" t="s">
        <v>25</v>
      </c>
      <c r="E6" s="258"/>
      <c r="F6" s="258"/>
      <c r="G6" s="257" t="s">
        <v>3452</v>
      </c>
      <c r="H6" s="258"/>
      <c r="I6" s="258"/>
      <c r="J6" s="257" t="s">
        <v>3453</v>
      </c>
      <c r="K6" s="258"/>
      <c r="L6" s="259"/>
    </row>
    <row r="7" spans="1:12" ht="48" customHeight="1">
      <c r="A7" s="260">
        <f>IFERROR('Compliance Mapping'!U16,"N/A")</f>
        <v>0.75</v>
      </c>
      <c r="B7" s="261"/>
      <c r="C7" s="261"/>
      <c r="D7" s="260">
        <f>IFERROR(SUM('Maturity Assessment'!D4:D12)/SUM('Maturity Assessment'!F4:F12),"N/A")</f>
        <v>0.76470588235294112</v>
      </c>
      <c r="E7" s="261"/>
      <c r="F7" s="261"/>
      <c r="G7" s="266">
        <f>IFERROR(SUM('Risk Quantification'!L5:L17),"N/A")</f>
        <v>53.699999999999996</v>
      </c>
      <c r="H7" s="261"/>
      <c r="I7" s="261"/>
      <c r="J7" s="267">
        <f>COUNTIF('Risk Quantification'!K5:K17,"&gt;="&amp;15)</f>
        <v>0</v>
      </c>
      <c r="K7" s="261"/>
      <c r="L7" s="262"/>
    </row>
    <row r="8" spans="1:12" ht="27.95" customHeight="1">
      <c r="A8" s="263" t="s">
        <v>3533</v>
      </c>
      <c r="B8" s="264"/>
      <c r="C8" s="264"/>
      <c r="D8" s="263" t="s">
        <v>3454</v>
      </c>
      <c r="E8" s="264"/>
      <c r="F8" s="264"/>
      <c r="G8" s="263" t="s">
        <v>3455</v>
      </c>
      <c r="H8" s="264"/>
      <c r="I8" s="264"/>
      <c r="J8" s="263" t="s">
        <v>3456</v>
      </c>
      <c r="K8" s="264"/>
      <c r="L8" s="265"/>
    </row>
    <row r="9" spans="1:12" ht="6" customHeight="1"/>
    <row r="10" spans="1:12" ht="20.100000000000001" customHeight="1">
      <c r="A10" s="257" t="s">
        <v>3457</v>
      </c>
      <c r="B10" s="258"/>
      <c r="C10" s="258"/>
      <c r="D10" s="257" t="s">
        <v>3458</v>
      </c>
      <c r="E10" s="258"/>
      <c r="F10" s="258"/>
      <c r="G10" s="257" t="s">
        <v>3459</v>
      </c>
      <c r="H10" s="258"/>
      <c r="I10" s="258"/>
      <c r="J10" s="257" t="s">
        <v>3460</v>
      </c>
      <c r="K10" s="258"/>
      <c r="L10" s="259"/>
    </row>
    <row r="11" spans="1:12" ht="48" customHeight="1">
      <c r="A11" s="267">
        <f>COUNTIF('KRI Tracking'!J5:J13,"Red")+COUNTIF('KRI Tracking'!J5:J13,"Amber")</f>
        <v>2</v>
      </c>
      <c r="B11" s="261"/>
      <c r="C11" s="261"/>
      <c r="D11" s="267">
        <f>COUNTIFS('Incident Analysis'!D5:D12,"Sev 1",'Incident Analysis'!M5:M12,"&lt;&gt;Closed")+COUNTIFS('Incident Analysis'!D5:D12,"Sev 2",'Incident Analysis'!M5:M12,"&lt;&gt;Closed")</f>
        <v>0</v>
      </c>
      <c r="E11" s="261"/>
      <c r="F11" s="261"/>
      <c r="G11" s="267">
        <f>COUNTIF('Implementation Roadmap'!H5:H16,"Delayed")</f>
        <v>0</v>
      </c>
      <c r="H11" s="261"/>
      <c r="I11" s="261"/>
      <c r="J11" s="260">
        <f>IFERROR(COUNTIFS('Third-Party Risk Services'!G5:G20,"Complete",'Third-Party Risk Services'!N5:N20,"High*")/COUNTIF('Third-Party Risk Services'!N5:N20,"High*"),"N/A")</f>
        <v>1</v>
      </c>
      <c r="K11" s="261"/>
      <c r="L11" s="262"/>
    </row>
    <row r="12" spans="1:12" ht="27.95" customHeight="1">
      <c r="A12" s="263" t="s">
        <v>3461</v>
      </c>
      <c r="B12" s="264"/>
      <c r="C12" s="264"/>
      <c r="D12" s="263" t="s">
        <v>3462</v>
      </c>
      <c r="E12" s="264"/>
      <c r="F12" s="264"/>
      <c r="G12" s="263" t="s">
        <v>3463</v>
      </c>
      <c r="H12" s="264"/>
      <c r="I12" s="264"/>
      <c r="J12" s="263" t="s">
        <v>3464</v>
      </c>
      <c r="K12" s="264"/>
      <c r="L12" s="265"/>
    </row>
    <row r="13" spans="1:12" ht="12" customHeight="1"/>
    <row r="14" spans="1:12" ht="27.95" customHeight="1">
      <c r="A14" s="253" t="s">
        <v>3465</v>
      </c>
      <c r="B14" s="253"/>
      <c r="C14" s="253"/>
      <c r="D14" s="253"/>
      <c r="E14" s="253"/>
      <c r="F14" s="253"/>
      <c r="G14" s="253"/>
      <c r="H14" s="253"/>
      <c r="I14" s="253"/>
      <c r="J14" s="253"/>
      <c r="K14" s="253"/>
      <c r="L14" s="253"/>
    </row>
    <row r="15" spans="1:12" ht="24" customHeight="1">
      <c r="A15" s="268" t="s">
        <v>254</v>
      </c>
      <c r="B15" s="269"/>
      <c r="C15" s="269" t="s">
        <v>255</v>
      </c>
      <c r="D15" s="269"/>
      <c r="E15" s="269"/>
      <c r="F15" s="269"/>
      <c r="G15" s="270" t="s">
        <v>256</v>
      </c>
      <c r="H15" s="270" t="s">
        <v>3466</v>
      </c>
      <c r="I15" s="270" t="s">
        <v>258</v>
      </c>
      <c r="J15" s="270" t="s">
        <v>3467</v>
      </c>
      <c r="K15" s="269" t="s">
        <v>17</v>
      </c>
      <c r="L15" s="271"/>
    </row>
    <row r="16" spans="1:12" ht="21.95" customHeight="1">
      <c r="A16" s="272" t="str">
        <f>'Risk Quantification'!A15</f>
        <v>RSK-011</v>
      </c>
      <c r="B16" s="273"/>
      <c r="C16" s="274" t="str">
        <f>'Risk Quantification'!B15</f>
        <v>Regulatory breach (Consumer Duty / fairness / FCA)</v>
      </c>
      <c r="D16" s="274"/>
      <c r="E16" s="274"/>
      <c r="F16" s="274"/>
      <c r="G16" s="275">
        <f>'Risk Quantification'!K15</f>
        <v>10</v>
      </c>
      <c r="H16" s="276">
        <f>'Risk Quantification'!L15</f>
        <v>7.5</v>
      </c>
      <c r="I16" s="275" t="str">
        <f>'Risk Quantification'!M15</f>
        <v>Mitigate</v>
      </c>
      <c r="J16" s="275" t="str">
        <f>'Risk Quantification'!N15</f>
        <v>ACT-012</v>
      </c>
      <c r="K16" s="274" t="str">
        <f>IFERROR(INDEX('Implementation Roadmap'!E$5:E$16,MATCH('Risk Quantification'!N15,'Implementation Roadmap'!A$5:A$16,0)),"See Action")</f>
        <v>See Action</v>
      </c>
      <c r="L16" s="277"/>
    </row>
    <row r="17" spans="1:12" ht="21.95" customHeight="1">
      <c r="A17" s="278" t="str">
        <f>'Risk Quantification'!A5</f>
        <v>RSK-001</v>
      </c>
      <c r="B17" s="279"/>
      <c r="C17" s="280" t="str">
        <f>'Risk Quantification'!B5</f>
        <v>Model performance drift causing pricing/UW losses</v>
      </c>
      <c r="D17" s="280"/>
      <c r="E17" s="280"/>
      <c r="F17" s="280"/>
      <c r="G17" s="281">
        <f>'Risk Quantification'!K5</f>
        <v>8</v>
      </c>
      <c r="H17" s="282">
        <f>'Risk Quantification'!L5</f>
        <v>6.5</v>
      </c>
      <c r="I17" s="281" t="str">
        <f>'Risk Quantification'!M5</f>
        <v>Mitigate</v>
      </c>
      <c r="J17" s="281" t="str">
        <f>'Risk Quantification'!N5</f>
        <v>ACT-001</v>
      </c>
      <c r="K17" s="280" t="str">
        <f>IFERROR(INDEX('Implementation Roadmap'!E$5:E$16,MATCH('Risk Quantification'!N5,'Implementation Roadmap'!A$5:A$16,0)),"See Action")</f>
        <v>See Action</v>
      </c>
      <c r="L17" s="283"/>
    </row>
    <row r="18" spans="1:12" ht="21.95" customHeight="1">
      <c r="A18" s="272" t="str">
        <f>'Risk Quantification'!A14</f>
        <v>RSK-010</v>
      </c>
      <c r="B18" s="273"/>
      <c r="C18" s="274" t="str">
        <f>'Risk Quantification'!B14</f>
        <v>Cloud misconfiguration exposing AI workloads</v>
      </c>
      <c r="D18" s="274"/>
      <c r="E18" s="274"/>
      <c r="F18" s="274"/>
      <c r="G18" s="275">
        <f>'Risk Quantification'!K14</f>
        <v>10</v>
      </c>
      <c r="H18" s="276">
        <f>'Risk Quantification'!L14</f>
        <v>6</v>
      </c>
      <c r="I18" s="275" t="str">
        <f>'Risk Quantification'!M14</f>
        <v>Mitigate</v>
      </c>
      <c r="J18" s="275" t="str">
        <f>'Risk Quantification'!N14</f>
        <v>ACT-011</v>
      </c>
      <c r="K18" s="274" t="str">
        <f>IFERROR(INDEX('Implementation Roadmap'!E$5:E$16,MATCH('Risk Quantification'!N14,'Implementation Roadmap'!A$5:A$16,0)),"See Action")</f>
        <v>See Action</v>
      </c>
      <c r="L18" s="277"/>
    </row>
    <row r="19" spans="1:12" ht="21.95" customHeight="1">
      <c r="A19" s="278" t="str">
        <f>'Risk Quantification'!A8</f>
        <v>RSK-004</v>
      </c>
      <c r="B19" s="279"/>
      <c r="C19" s="280" t="str">
        <f>'Risk Quantification'!B8</f>
        <v>Pricing/fairness bias against protected groups</v>
      </c>
      <c r="D19" s="280"/>
      <c r="E19" s="280"/>
      <c r="F19" s="280"/>
      <c r="G19" s="281">
        <f>'Risk Quantification'!K8</f>
        <v>8</v>
      </c>
      <c r="H19" s="282">
        <f>'Risk Quantification'!L8</f>
        <v>5.5</v>
      </c>
      <c r="I19" s="281" t="str">
        <f>'Risk Quantification'!M8</f>
        <v>Mitigate</v>
      </c>
      <c r="J19" s="281" t="str">
        <f>'Risk Quantification'!N8</f>
        <v>ACT-006</v>
      </c>
      <c r="K19" s="280" t="str">
        <f>IFERROR(INDEX('Implementation Roadmap'!E$5:E$16,MATCH('Risk Quantification'!N8,'Implementation Roadmap'!A$5:A$16,0)),"See Action")</f>
        <v>See Action</v>
      </c>
      <c r="L19" s="283"/>
    </row>
    <row r="20" spans="1:12" ht="21.95" customHeight="1">
      <c r="A20" s="284" t="str">
        <f>'Risk Quantification'!A9</f>
        <v>RSK-005</v>
      </c>
      <c r="B20" s="285"/>
      <c r="C20" s="286" t="str">
        <f>'Risk Quantification'!B9</f>
        <v>LLM hallucination delivered to customer</v>
      </c>
      <c r="D20" s="286"/>
      <c r="E20" s="286"/>
      <c r="F20" s="286"/>
      <c r="G20" s="287">
        <f>'Risk Quantification'!K9</f>
        <v>8</v>
      </c>
      <c r="H20" s="288">
        <f>'Risk Quantification'!L9</f>
        <v>4.8</v>
      </c>
      <c r="I20" s="287" t="str">
        <f>'Risk Quantification'!M9</f>
        <v>Mitigate</v>
      </c>
      <c r="J20" s="287" t="str">
        <f>'Risk Quantification'!N9</f>
        <v>ACT-007</v>
      </c>
      <c r="K20" s="286" t="str">
        <f>IFERROR(INDEX('Implementation Roadmap'!E$5:E$16,MATCH('Risk Quantification'!N9,'Implementation Roadmap'!A$5:A$16,0)),"See Action")</f>
        <v>See Action</v>
      </c>
      <c r="L20" s="289"/>
    </row>
    <row r="21" spans="1:12" ht="12" customHeight="1"/>
    <row r="22" spans="1:12" ht="27.95" customHeight="1">
      <c r="A22" s="253" t="s">
        <v>3468</v>
      </c>
      <c r="B22" s="253"/>
      <c r="C22" s="253"/>
      <c r="D22" s="253"/>
      <c r="E22" s="253"/>
      <c r="F22" s="253"/>
      <c r="G22" s="253"/>
      <c r="H22" s="253"/>
      <c r="I22" s="253"/>
      <c r="J22" s="253"/>
      <c r="K22" s="253"/>
      <c r="L22" s="253"/>
    </row>
    <row r="23" spans="1:12" ht="24" customHeight="1">
      <c r="A23" s="268" t="s">
        <v>2454</v>
      </c>
      <c r="B23" s="269"/>
      <c r="C23" s="269" t="s">
        <v>301</v>
      </c>
      <c r="D23" s="269"/>
      <c r="E23" s="269"/>
      <c r="F23" s="269"/>
      <c r="G23" s="270" t="s">
        <v>302</v>
      </c>
      <c r="H23" s="270" t="s">
        <v>3469</v>
      </c>
      <c r="I23" s="270" t="s">
        <v>303</v>
      </c>
      <c r="J23" s="270" t="s">
        <v>304</v>
      </c>
      <c r="K23" s="269" t="s">
        <v>17</v>
      </c>
      <c r="L23" s="271"/>
    </row>
    <row r="24" spans="1:12" ht="21.95" customHeight="1">
      <c r="A24" s="272" t="str">
        <f>'Maturity Assessment'!A4</f>
        <v>Domain ID</v>
      </c>
      <c r="B24" s="273"/>
      <c r="C24" s="274" t="str">
        <f>'Maturity Assessment'!B4</f>
        <v>Domain</v>
      </c>
      <c r="D24" s="274"/>
      <c r="E24" s="274"/>
      <c r="F24" s="274"/>
      <c r="G24" s="275" t="str">
        <f>'Maturity Assessment'!D4</f>
        <v>Current Maturity (1-5)</v>
      </c>
      <c r="H24" s="275" t="str">
        <f>'Maturity Assessment'!E4</f>
        <v>Current Level</v>
      </c>
      <c r="I24" s="275" t="str">
        <f>'Maturity Assessment'!F4</f>
        <v>Target Maturity (1-5)</v>
      </c>
      <c r="J24" s="275" t="str">
        <f>'Maturity Assessment'!H4</f>
        <v>Gap</v>
      </c>
      <c r="K24" s="274" t="str">
        <f>'Maturity Assessment'!K4</f>
        <v>Owner</v>
      </c>
      <c r="L24" s="277"/>
    </row>
    <row r="25" spans="1:12" ht="21.95" customHeight="1">
      <c r="A25" s="278" t="str">
        <f>'Maturity Assessment'!A5</f>
        <v>MAT-01</v>
      </c>
      <c r="B25" s="279"/>
      <c r="C25" s="280" t="str">
        <f>'Maturity Assessment'!B5</f>
        <v>Governance</v>
      </c>
      <c r="D25" s="280"/>
      <c r="E25" s="280"/>
      <c r="F25" s="280"/>
      <c r="G25" s="281">
        <f>'Maturity Assessment'!D5</f>
        <v>4</v>
      </c>
      <c r="H25" s="281" t="str">
        <f>'Maturity Assessment'!E5</f>
        <v>Managed</v>
      </c>
      <c r="I25" s="281">
        <f>'Maturity Assessment'!F5</f>
        <v>5</v>
      </c>
      <c r="J25" s="281">
        <f>'Maturity Assessment'!H5</f>
        <v>1</v>
      </c>
      <c r="K25" s="280" t="str">
        <f>'Maturity Assessment'!K5</f>
        <v>Andrew Pollard</v>
      </c>
      <c r="L25" s="283"/>
    </row>
    <row r="26" spans="1:12" ht="21.95" customHeight="1">
      <c r="A26" s="272" t="str">
        <f>'Maturity Assessment'!A6</f>
        <v>MAT-02</v>
      </c>
      <c r="B26" s="273"/>
      <c r="C26" s="274" t="str">
        <f>'Maturity Assessment'!B6</f>
        <v>Risk Management</v>
      </c>
      <c r="D26" s="274"/>
      <c r="E26" s="274"/>
      <c r="F26" s="274"/>
      <c r="G26" s="275">
        <f>'Maturity Assessment'!D6</f>
        <v>3</v>
      </c>
      <c r="H26" s="275" t="str">
        <f>'Maturity Assessment'!E6</f>
        <v>Defined</v>
      </c>
      <c r="I26" s="275">
        <f>'Maturity Assessment'!F6</f>
        <v>4</v>
      </c>
      <c r="J26" s="275">
        <f>'Maturity Assessment'!H6</f>
        <v>1</v>
      </c>
      <c r="K26" s="274" t="str">
        <f>'Maturity Assessment'!K6</f>
        <v>Geoffrey Sanders</v>
      </c>
      <c r="L26" s="277"/>
    </row>
    <row r="27" spans="1:12" ht="21.95" customHeight="1">
      <c r="A27" s="278" t="str">
        <f>'Maturity Assessment'!A7</f>
        <v>MAT-03</v>
      </c>
      <c r="B27" s="279"/>
      <c r="C27" s="280" t="str">
        <f>'Maturity Assessment'!B7</f>
        <v>Security Controls</v>
      </c>
      <c r="D27" s="280"/>
      <c r="E27" s="280"/>
      <c r="F27" s="280"/>
      <c r="G27" s="281">
        <f>'Maturity Assessment'!D7</f>
        <v>4</v>
      </c>
      <c r="H27" s="281" t="str">
        <f>'Maturity Assessment'!E7</f>
        <v>Managed</v>
      </c>
      <c r="I27" s="281">
        <f>'Maturity Assessment'!F7</f>
        <v>5</v>
      </c>
      <c r="J27" s="281">
        <f>'Maturity Assessment'!H7</f>
        <v>1</v>
      </c>
      <c r="K27" s="280" t="str">
        <f>'Maturity Assessment'!K7</f>
        <v>Karen Holloway</v>
      </c>
      <c r="L27" s="283"/>
    </row>
    <row r="28" spans="1:12" ht="21.95" customHeight="1">
      <c r="A28" s="272" t="str">
        <f>'Maturity Assessment'!A8</f>
        <v>MAT-04</v>
      </c>
      <c r="B28" s="273"/>
      <c r="C28" s="274" t="str">
        <f>'Maturity Assessment'!B8</f>
        <v>Privacy and Data Handling</v>
      </c>
      <c r="D28" s="274"/>
      <c r="E28" s="274"/>
      <c r="F28" s="274"/>
      <c r="G28" s="275">
        <f>'Maturity Assessment'!D8</f>
        <v>3</v>
      </c>
      <c r="H28" s="275" t="str">
        <f>'Maturity Assessment'!E8</f>
        <v>Defined</v>
      </c>
      <c r="I28" s="275">
        <f>'Maturity Assessment'!F8</f>
        <v>4</v>
      </c>
      <c r="J28" s="275">
        <f>'Maturity Assessment'!H8</f>
        <v>1</v>
      </c>
      <c r="K28" s="274" t="str">
        <f>'Maturity Assessment'!K8</f>
        <v>Rebecca Lloyd</v>
      </c>
      <c r="L28" s="277"/>
    </row>
    <row r="29" spans="1:12" ht="21.95" customHeight="1">
      <c r="A29" s="278" t="str">
        <f>'Maturity Assessment'!A9</f>
        <v>MAT-05</v>
      </c>
      <c r="B29" s="279"/>
      <c r="C29" s="280" t="str">
        <f>'Maturity Assessment'!B9</f>
        <v>Monitoring and Assurance</v>
      </c>
      <c r="D29" s="280"/>
      <c r="E29" s="280"/>
      <c r="F29" s="280"/>
      <c r="G29" s="281">
        <f>'Maturity Assessment'!D9</f>
        <v>3</v>
      </c>
      <c r="H29" s="281" t="str">
        <f>'Maturity Assessment'!E9</f>
        <v>Defined</v>
      </c>
      <c r="I29" s="281">
        <f>'Maturity Assessment'!F9</f>
        <v>4</v>
      </c>
      <c r="J29" s="281">
        <f>'Maturity Assessment'!H9</f>
        <v>1</v>
      </c>
      <c r="K29" s="280" t="str">
        <f>'Maturity Assessment'!K9</f>
        <v>Mohammed Iqbal</v>
      </c>
      <c r="L29" s="283"/>
    </row>
    <row r="30" spans="1:12" ht="21.95" customHeight="1">
      <c r="A30" s="272" t="str">
        <f>'Maturity Assessment'!A10</f>
        <v>MAT-06</v>
      </c>
      <c r="B30" s="273"/>
      <c r="C30" s="274" t="str">
        <f>'Maturity Assessment'!B10</f>
        <v>Third-Party Oversight</v>
      </c>
      <c r="D30" s="274"/>
      <c r="E30" s="274"/>
      <c r="F30" s="274"/>
      <c r="G30" s="275">
        <f>'Maturity Assessment'!D10</f>
        <v>3</v>
      </c>
      <c r="H30" s="275" t="str">
        <f>'Maturity Assessment'!E10</f>
        <v>Defined</v>
      </c>
      <c r="I30" s="275">
        <f>'Maturity Assessment'!F10</f>
        <v>4</v>
      </c>
      <c r="J30" s="275">
        <f>'Maturity Assessment'!H10</f>
        <v>1</v>
      </c>
      <c r="K30" s="274" t="str">
        <f>'Maturity Assessment'!K10</f>
        <v>Sarah Mitchell</v>
      </c>
      <c r="L30" s="277"/>
    </row>
    <row r="31" spans="1:12" ht="21.95" customHeight="1">
      <c r="A31" s="278" t="str">
        <f>'Maturity Assessment'!A11</f>
        <v>MAT-07</v>
      </c>
      <c r="B31" s="279"/>
      <c r="C31" s="280" t="str">
        <f>'Maturity Assessment'!B11</f>
        <v>Lifecycle Management</v>
      </c>
      <c r="D31" s="280"/>
      <c r="E31" s="280"/>
      <c r="F31" s="280"/>
      <c r="G31" s="281">
        <f>'Maturity Assessment'!D11</f>
        <v>3</v>
      </c>
      <c r="H31" s="281" t="str">
        <f>'Maturity Assessment'!E11</f>
        <v>Defined</v>
      </c>
      <c r="I31" s="281">
        <f>'Maturity Assessment'!F11</f>
        <v>4</v>
      </c>
      <c r="J31" s="281">
        <f>'Maturity Assessment'!H11</f>
        <v>1</v>
      </c>
      <c r="K31" s="280" t="str">
        <f>'Maturity Assessment'!K11</f>
        <v>Daniel O'Reilly</v>
      </c>
      <c r="L31" s="283"/>
    </row>
    <row r="32" spans="1:12" ht="21.95" customHeight="1">
      <c r="A32" s="272" t="str">
        <f>'Maturity Assessment'!A12</f>
        <v>MAT-08</v>
      </c>
      <c r="B32" s="273"/>
      <c r="C32" s="274" t="str">
        <f>'Maturity Assessment'!B12</f>
        <v>Resilience and Continuity</v>
      </c>
      <c r="D32" s="274"/>
      <c r="E32" s="274"/>
      <c r="F32" s="274"/>
      <c r="G32" s="275">
        <f>'Maturity Assessment'!D12</f>
        <v>3</v>
      </c>
      <c r="H32" s="275" t="str">
        <f>'Maturity Assessment'!E12</f>
        <v>Defined</v>
      </c>
      <c r="I32" s="275">
        <f>'Maturity Assessment'!F12</f>
        <v>4</v>
      </c>
      <c r="J32" s="275">
        <f>'Maturity Assessment'!H12</f>
        <v>1</v>
      </c>
      <c r="K32" s="274" t="str">
        <f>'Maturity Assessment'!K12</f>
        <v>Yvonne Mathieson</v>
      </c>
      <c r="L32" s="277"/>
    </row>
    <row r="33" spans="1:12" ht="24" customHeight="1">
      <c r="A33" s="290" t="s">
        <v>3470</v>
      </c>
      <c r="B33" s="291"/>
      <c r="C33" s="291"/>
      <c r="D33" s="291"/>
      <c r="E33" s="291"/>
      <c r="F33" s="291"/>
      <c r="G33" s="292">
        <f>AVERAGE(G24:G32)</f>
        <v>3.25</v>
      </c>
      <c r="H33" s="293"/>
      <c r="I33" s="292">
        <f>AVERAGE(I24:I32)</f>
        <v>4.25</v>
      </c>
      <c r="J33" s="293">
        <f>SUM(J24:J32)</f>
        <v>8</v>
      </c>
      <c r="K33" s="291"/>
      <c r="L33" s="294"/>
    </row>
    <row r="34" spans="1:12" ht="12" customHeight="1"/>
    <row r="35" spans="1:12" ht="27.95" customHeight="1">
      <c r="A35" s="253" t="s">
        <v>3471</v>
      </c>
      <c r="B35" s="253"/>
      <c r="C35" s="253"/>
      <c r="D35" s="253"/>
      <c r="E35" s="253"/>
      <c r="F35" s="253"/>
      <c r="G35" s="253"/>
      <c r="H35" s="253"/>
      <c r="I35" s="253"/>
      <c r="J35" s="253"/>
      <c r="K35" s="253"/>
      <c r="L35" s="253"/>
    </row>
    <row r="36" spans="1:12" ht="24" customHeight="1">
      <c r="A36" s="268" t="s">
        <v>1756</v>
      </c>
      <c r="B36" s="269"/>
      <c r="C36" s="269" t="s">
        <v>1757</v>
      </c>
      <c r="D36" s="269"/>
      <c r="E36" s="269"/>
      <c r="F36" s="270" t="s">
        <v>302</v>
      </c>
      <c r="G36" s="270" t="s">
        <v>76</v>
      </c>
      <c r="H36" s="270" t="s">
        <v>77</v>
      </c>
      <c r="I36" s="270" t="s">
        <v>1764</v>
      </c>
      <c r="J36" s="270" t="s">
        <v>277</v>
      </c>
      <c r="K36" s="269" t="s">
        <v>17</v>
      </c>
      <c r="L36" s="271"/>
    </row>
    <row r="37" spans="1:12" ht="21.95" customHeight="1">
      <c r="A37" s="272" t="str">
        <f>'KRI Tracking'!A5</f>
        <v>KRI-001</v>
      </c>
      <c r="B37" s="273"/>
      <c r="C37" s="274" t="str">
        <f>'KRI Tracking'!B5</f>
        <v>Models with material drift in last 30 days</v>
      </c>
      <c r="D37" s="274"/>
      <c r="E37" s="274"/>
      <c r="F37" s="275">
        <f>'KRI Tracking'!G5</f>
        <v>1</v>
      </c>
      <c r="G37" s="275">
        <f>'KRI Tracking'!E5</f>
        <v>2</v>
      </c>
      <c r="H37" s="275">
        <f>'KRI Tracking'!F5</f>
        <v>4</v>
      </c>
      <c r="I37" s="275" t="str">
        <f>'KRI Tracking'!I5</f>
        <v>Improving</v>
      </c>
      <c r="J37" s="275" t="str">
        <f>'KRI Tracking'!J5</f>
        <v>Green</v>
      </c>
      <c r="K37" s="274" t="str">
        <f>'KRI Tracking'!K5</f>
        <v>Mohammed Iqbal</v>
      </c>
      <c r="L37" s="277"/>
    </row>
    <row r="38" spans="1:12" ht="21.95" customHeight="1">
      <c r="A38" s="278" t="str">
        <f>'KRI Tracking'!A6</f>
        <v>KRI-002</v>
      </c>
      <c r="B38" s="279"/>
      <c r="C38" s="280" t="str">
        <f>'KRI Tracking'!B6</f>
        <v>Tier-1 models without current monitoring coverage</v>
      </c>
      <c r="D38" s="280"/>
      <c r="E38" s="280"/>
      <c r="F38" s="281">
        <f>'KRI Tracking'!G6</f>
        <v>0</v>
      </c>
      <c r="G38" s="281">
        <f>'KRI Tracking'!E6</f>
        <v>1</v>
      </c>
      <c r="H38" s="281">
        <f>'KRI Tracking'!F6</f>
        <v>2</v>
      </c>
      <c r="I38" s="281" t="str">
        <f>'KRI Tracking'!I6</f>
        <v>Stable</v>
      </c>
      <c r="J38" s="281" t="str">
        <f>'KRI Tracking'!J6</f>
        <v>Green</v>
      </c>
      <c r="K38" s="280" t="str">
        <f>'KRI Tracking'!K6</f>
        <v>Mohammed Iqbal</v>
      </c>
      <c r="L38" s="283"/>
    </row>
    <row r="39" spans="1:12" ht="21.95" customHeight="1">
      <c r="A39" s="272" t="str">
        <f>'KRI Tracking'!A7</f>
        <v>KRI-003</v>
      </c>
      <c r="B39" s="273"/>
      <c r="C39" s="274" t="str">
        <f>'KRI Tracking'!B7</f>
        <v>Pricing fairness review breaches outstanding</v>
      </c>
      <c r="D39" s="274"/>
      <c r="E39" s="274"/>
      <c r="F39" s="275">
        <f>'KRI Tracking'!G7</f>
        <v>0</v>
      </c>
      <c r="G39" s="275">
        <f>'KRI Tracking'!E7</f>
        <v>1</v>
      </c>
      <c r="H39" s="275">
        <f>'KRI Tracking'!F7</f>
        <v>3</v>
      </c>
      <c r="I39" s="275" t="str">
        <f>'KRI Tracking'!I7</f>
        <v>Stable</v>
      </c>
      <c r="J39" s="275" t="str">
        <f>'KRI Tracking'!J7</f>
        <v>Green</v>
      </c>
      <c r="K39" s="274" t="str">
        <f>'KRI Tracking'!K7</f>
        <v>Helen Carter</v>
      </c>
      <c r="L39" s="277"/>
    </row>
    <row r="40" spans="1:12" ht="21.95" customHeight="1">
      <c r="A40" s="278" t="str">
        <f>'KRI Tracking'!A8</f>
        <v>KRI-004</v>
      </c>
      <c r="B40" s="279"/>
      <c r="C40" s="280" t="str">
        <f>'KRI Tracking'!B8</f>
        <v>Customer-facing AI complaints linked to AI behaviour (rolling 90d)</v>
      </c>
      <c r="D40" s="280"/>
      <c r="E40" s="280"/>
      <c r="F40" s="281">
        <f>'KRI Tracking'!G8</f>
        <v>3</v>
      </c>
      <c r="G40" s="281">
        <f>'KRI Tracking'!E8</f>
        <v>5</v>
      </c>
      <c r="H40" s="281">
        <f>'KRI Tracking'!F8</f>
        <v>10</v>
      </c>
      <c r="I40" s="281" t="str">
        <f>'KRI Tracking'!I8</f>
        <v>Improving</v>
      </c>
      <c r="J40" s="281" t="str">
        <f>'KRI Tracking'!J8</f>
        <v>Green</v>
      </c>
      <c r="K40" s="280" t="str">
        <f>'KRI Tracking'!K8</f>
        <v>Olivia Bennett</v>
      </c>
      <c r="L40" s="283"/>
    </row>
    <row r="41" spans="1:12" ht="21.95" customHeight="1">
      <c r="A41" s="272" t="str">
        <f>'KRI Tracking'!A9</f>
        <v>KRI-005</v>
      </c>
      <c r="B41" s="273"/>
      <c r="C41" s="274" t="str">
        <f>'KRI Tracking'!B9</f>
        <v>Vulnerable customer cases handled outside specialist team</v>
      </c>
      <c r="D41" s="274"/>
      <c r="E41" s="274"/>
      <c r="F41" s="275">
        <f>'KRI Tracking'!G9</f>
        <v>1</v>
      </c>
      <c r="G41" s="275">
        <f>'KRI Tracking'!E9</f>
        <v>2</v>
      </c>
      <c r="H41" s="275">
        <f>'KRI Tracking'!F9</f>
        <v>5</v>
      </c>
      <c r="I41" s="275" t="str">
        <f>'KRI Tracking'!I9</f>
        <v>Stable</v>
      </c>
      <c r="J41" s="275" t="str">
        <f>'KRI Tracking'!J9</f>
        <v>Green</v>
      </c>
      <c r="K41" s="274" t="str">
        <f>'KRI Tracking'!K9</f>
        <v>Olivia Bennett</v>
      </c>
      <c r="L41" s="277"/>
    </row>
    <row r="42" spans="1:12" ht="21.95" customHeight="1">
      <c r="A42" s="278" t="str">
        <f>'KRI Tracking'!A10</f>
        <v>KRI-006</v>
      </c>
      <c r="B42" s="279"/>
      <c r="C42" s="280" t="str">
        <f>'KRI Tracking'!B10</f>
        <v>Sanctions/fraud false-negative incidents (rolling 90d)</v>
      </c>
      <c r="D42" s="280"/>
      <c r="E42" s="280"/>
      <c r="F42" s="281">
        <f>'KRI Tracking'!G10</f>
        <v>0</v>
      </c>
      <c r="G42" s="281">
        <f>'KRI Tracking'!E10</f>
        <v>1</v>
      </c>
      <c r="H42" s="281">
        <f>'KRI Tracking'!F10</f>
        <v>2</v>
      </c>
      <c r="I42" s="281" t="str">
        <f>'KRI Tracking'!I10</f>
        <v>Improving</v>
      </c>
      <c r="J42" s="281" t="str">
        <f>'KRI Tracking'!J10</f>
        <v>Green</v>
      </c>
      <c r="K42" s="280" t="str">
        <f>'KRI Tracking'!K10</f>
        <v>Helen Carter</v>
      </c>
      <c r="L42" s="283"/>
    </row>
    <row r="43" spans="1:12" ht="21.95" customHeight="1">
      <c r="A43" s="272" t="str">
        <f>'KRI Tracking'!A11</f>
        <v>KRI-007</v>
      </c>
      <c r="B43" s="273"/>
      <c r="C43" s="274" t="str">
        <f>'KRI Tracking'!B11</f>
        <v>DLP exceptions raised on GenAI tools (per month)</v>
      </c>
      <c r="D43" s="274"/>
      <c r="E43" s="274"/>
      <c r="F43" s="275">
        <f>'KRI Tracking'!G11</f>
        <v>14</v>
      </c>
      <c r="G43" s="275">
        <f>'KRI Tracking'!E11</f>
        <v>10</v>
      </c>
      <c r="H43" s="275">
        <f>'KRI Tracking'!F11</f>
        <v>20</v>
      </c>
      <c r="I43" s="275" t="str">
        <f>'KRI Tracking'!I11</f>
        <v>Deteriorating</v>
      </c>
      <c r="J43" s="275" t="str">
        <f>'KRI Tracking'!J11</f>
        <v>Amber</v>
      </c>
      <c r="K43" s="274" t="str">
        <f>'KRI Tracking'!K11</f>
        <v>Karen Holloway</v>
      </c>
      <c r="L43" s="277"/>
    </row>
    <row r="44" spans="1:12" ht="21.95" customHeight="1">
      <c r="A44" s="278" t="str">
        <f>'KRI Tracking'!A12</f>
        <v>KRI-008</v>
      </c>
      <c r="B44" s="279"/>
      <c r="C44" s="280" t="str">
        <f>'KRI Tracking'!B12</f>
        <v>Document AI extraction reject rate</v>
      </c>
      <c r="D44" s="280"/>
      <c r="E44" s="280"/>
      <c r="F44" s="281">
        <f>'KRI Tracking'!G12</f>
        <v>3</v>
      </c>
      <c r="G44" s="281">
        <f>'KRI Tracking'!E12</f>
        <v>4</v>
      </c>
      <c r="H44" s="281">
        <f>'KRI Tracking'!F12</f>
        <v>8</v>
      </c>
      <c r="I44" s="281" t="str">
        <f>'KRI Tracking'!I12</f>
        <v>Stable</v>
      </c>
      <c r="J44" s="281" t="str">
        <f>'KRI Tracking'!J12</f>
        <v>Green</v>
      </c>
      <c r="K44" s="280" t="str">
        <f>'KRI Tracking'!K12</f>
        <v>Mohammed Iqbal</v>
      </c>
      <c r="L44" s="283"/>
    </row>
    <row r="45" spans="1:12" ht="21.95" customHeight="1">
      <c r="A45" s="284" t="str">
        <f>'KRI Tracking'!A13</f>
        <v>KRI-009</v>
      </c>
      <c r="B45" s="285"/>
      <c r="C45" s="286" t="str">
        <f>'KRI Tracking'!B13</f>
        <v>Cloud configuration drift on AI workloads</v>
      </c>
      <c r="D45" s="286"/>
      <c r="E45" s="286"/>
      <c r="F45" s="287">
        <f>'KRI Tracking'!G13</f>
        <v>2</v>
      </c>
      <c r="G45" s="287">
        <f>'KRI Tracking'!E13</f>
        <v>2</v>
      </c>
      <c r="H45" s="287">
        <f>'KRI Tracking'!F13</f>
        <v>5</v>
      </c>
      <c r="I45" s="287" t="str">
        <f>'KRI Tracking'!I13</f>
        <v>Stable</v>
      </c>
      <c r="J45" s="287" t="str">
        <f>'KRI Tracking'!J13</f>
        <v>Amber</v>
      </c>
      <c r="K45" s="286" t="str">
        <f>'KRI Tracking'!K13</f>
        <v>Karen Holloway</v>
      </c>
      <c r="L45" s="289"/>
    </row>
    <row r="46" spans="1:12" ht="12" customHeight="1"/>
    <row r="47" spans="1:12" ht="27.95" customHeight="1">
      <c r="A47" s="253" t="s">
        <v>3472</v>
      </c>
      <c r="B47" s="253"/>
      <c r="C47" s="253"/>
      <c r="D47" s="253"/>
      <c r="E47" s="253"/>
      <c r="F47" s="253"/>
      <c r="G47" s="253"/>
      <c r="H47" s="253"/>
      <c r="I47" s="253"/>
      <c r="J47" s="253"/>
      <c r="K47" s="253"/>
      <c r="L47" s="253"/>
    </row>
    <row r="48" spans="1:12" ht="20.100000000000001" customHeight="1">
      <c r="A48" s="257" t="s">
        <v>2007</v>
      </c>
      <c r="B48" s="258"/>
      <c r="C48" s="258"/>
      <c r="D48" s="257" t="s">
        <v>3473</v>
      </c>
      <c r="E48" s="258"/>
      <c r="F48" s="258"/>
      <c r="G48" s="257" t="s">
        <v>3474</v>
      </c>
      <c r="H48" s="258"/>
      <c r="I48" s="258"/>
      <c r="J48" s="257" t="s">
        <v>3475</v>
      </c>
      <c r="K48" s="258"/>
      <c r="L48" s="259"/>
    </row>
    <row r="49" spans="1:12" ht="39.950000000000003" customHeight="1">
      <c r="A49" s="298">
        <f>'Incident Analysis'!Q5</f>
        <v>8</v>
      </c>
      <c r="B49" s="299"/>
      <c r="C49" s="299"/>
      <c r="D49" s="298">
        <f>'Incident Analysis'!Q6+'Incident Analysis'!Q7</f>
        <v>4</v>
      </c>
      <c r="E49" s="299"/>
      <c r="F49" s="299"/>
      <c r="G49" s="298">
        <f>'Incident Analysis'!Q10</f>
        <v>0</v>
      </c>
      <c r="H49" s="299"/>
      <c r="I49" s="299"/>
      <c r="J49" s="298">
        <f>'Incident Analysis'!Q11</f>
        <v>1</v>
      </c>
      <c r="K49" s="299"/>
      <c r="L49" s="300"/>
    </row>
    <row r="50" spans="1:12" ht="20.100000000000001" customHeight="1">
      <c r="A50" s="301" t="s">
        <v>3476</v>
      </c>
      <c r="B50" s="302"/>
      <c r="C50" s="302"/>
      <c r="D50" s="301" t="s">
        <v>3477</v>
      </c>
      <c r="E50" s="302"/>
      <c r="F50" s="302"/>
      <c r="G50" s="301" t="s">
        <v>3478</v>
      </c>
      <c r="H50" s="302"/>
      <c r="I50" s="302"/>
      <c r="J50" s="301" t="s">
        <v>3479</v>
      </c>
      <c r="K50" s="302"/>
      <c r="L50" s="303"/>
    </row>
    <row r="51" spans="1:12" ht="12" customHeight="1"/>
    <row r="52" spans="1:12" ht="27.95" customHeight="1">
      <c r="A52" s="253" t="s">
        <v>3480</v>
      </c>
      <c r="B52" s="253"/>
      <c r="C52" s="253"/>
      <c r="D52" s="253"/>
      <c r="E52" s="253"/>
      <c r="F52" s="253"/>
      <c r="G52" s="253"/>
      <c r="H52" s="253"/>
      <c r="I52" s="253"/>
      <c r="J52" s="253"/>
      <c r="K52" s="253"/>
      <c r="L52" s="253"/>
    </row>
    <row r="53" spans="1:12" ht="24" customHeight="1">
      <c r="A53" s="268" t="s">
        <v>360</v>
      </c>
      <c r="B53" s="269"/>
      <c r="C53" s="269" t="s">
        <v>361</v>
      </c>
      <c r="D53" s="269"/>
      <c r="E53" s="269"/>
      <c r="F53" s="269" t="s">
        <v>363</v>
      </c>
      <c r="G53" s="269"/>
      <c r="H53" s="269"/>
      <c r="I53" s="269" t="s">
        <v>362</v>
      </c>
      <c r="J53" s="269"/>
      <c r="K53" s="269" t="s">
        <v>17</v>
      </c>
      <c r="L53" s="271"/>
    </row>
    <row r="54" spans="1:12">
      <c r="A54" s="272" t="str">
        <f>'Third-Party Risk Services'!A5</f>
        <v>VEN-001</v>
      </c>
      <c r="B54" s="273"/>
      <c r="C54" s="274" t="str">
        <f>'Third-Party Risk Services'!B5</f>
        <v>Microsoft (Azure OpenAI / M365 Copilot)</v>
      </c>
      <c r="D54" s="274"/>
      <c r="E54" s="274"/>
      <c r="F54" s="304" t="str">
        <f>'Third-Party Risk Services'!M5</f>
        <v>Quarterly subprocessor review; refresh DPIA after RDM-002</v>
      </c>
      <c r="G54" s="304"/>
      <c r="H54" s="304"/>
      <c r="I54" s="273" t="str">
        <f>'Third-Party Risk Services'!K5</f>
        <v>Amber</v>
      </c>
      <c r="J54" s="273"/>
      <c r="K54" s="274" t="str">
        <f>'Third-Party Risk Services'!O5</f>
        <v>Sarah Mitchell</v>
      </c>
      <c r="L54" s="277"/>
    </row>
    <row r="55" spans="1:12">
      <c r="A55" s="278" t="str">
        <f>'Third-Party Risk Services'!A7</f>
        <v>VEN-003</v>
      </c>
      <c r="B55" s="279"/>
      <c r="C55" s="280" t="str">
        <f>'Third-Party Risk Services'!B7</f>
        <v>ABBYY</v>
      </c>
      <c r="D55" s="280"/>
      <c r="E55" s="280"/>
      <c r="F55" s="305" t="str">
        <f>'Third-Party Risk Services'!M7</f>
        <v>Complete privacy review by 30/06/2026 (ACT-002)</v>
      </c>
      <c r="G55" s="305"/>
      <c r="H55" s="305"/>
      <c r="I55" s="279" t="str">
        <f>'Third-Party Risk Services'!K7</f>
        <v>Amber</v>
      </c>
      <c r="J55" s="279"/>
      <c r="K55" s="280" t="str">
        <f>'Third-Party Risk Services'!O7</f>
        <v>Sarah Mitchell</v>
      </c>
      <c r="L55" s="283"/>
    </row>
    <row r="56" spans="1:12">
      <c r="A56" s="272" t="str">
        <f>'Third-Party Risk Services'!A11</f>
        <v>VEN-007</v>
      </c>
      <c r="B56" s="273"/>
      <c r="C56" s="274" t="str">
        <f>'Third-Party Risk Services'!B11</f>
        <v>Tractable</v>
      </c>
      <c r="D56" s="274"/>
      <c r="E56" s="274"/>
      <c r="F56" s="304" t="str">
        <f>'Third-Party Risk Services'!M11</f>
        <v>Complete security review (ACT-005)</v>
      </c>
      <c r="G56" s="304"/>
      <c r="H56" s="304"/>
      <c r="I56" s="273" t="str">
        <f>'Third-Party Risk Services'!K11</f>
        <v>Amber</v>
      </c>
      <c r="J56" s="273"/>
      <c r="K56" s="274" t="str">
        <f>'Third-Party Risk Services'!O11</f>
        <v>Sarah Mitchell</v>
      </c>
      <c r="L56" s="277"/>
    </row>
    <row r="57" spans="1:12">
      <c r="A57" s="278" t="str">
        <f>'Third-Party Risk Services'!A16</f>
        <v>VEN-012</v>
      </c>
      <c r="B57" s="279"/>
      <c r="C57" s="280" t="str">
        <f>'Third-Party Risk Services'!B16</f>
        <v>Hugging Face Enterprise</v>
      </c>
      <c r="D57" s="280"/>
      <c r="E57" s="280"/>
      <c r="F57" s="305" t="str">
        <f>'Third-Party Risk Services'!M16</f>
        <v>Complete DD by 30/06/2026 (ACT-009)</v>
      </c>
      <c r="G57" s="305"/>
      <c r="H57" s="305"/>
      <c r="I57" s="279" t="str">
        <f>'Third-Party Risk Services'!K16</f>
        <v>Amber</v>
      </c>
      <c r="J57" s="279"/>
      <c r="K57" s="280" t="str">
        <f>'Third-Party Risk Services'!O16</f>
        <v>Mohammed Iqbal</v>
      </c>
      <c r="L57" s="283"/>
    </row>
    <row r="58" spans="1:12">
      <c r="A58" s="272" t="str">
        <f>'Third-Party Risk Services'!A17</f>
        <v>VEN-013</v>
      </c>
      <c r="B58" s="273"/>
      <c r="C58" s="274" t="str">
        <f>'Third-Party Risk Services'!B17</f>
        <v>Persistent Systems</v>
      </c>
      <c r="D58" s="274"/>
      <c r="E58" s="274"/>
      <c r="F58" s="304" t="str">
        <f>'Third-Party Risk Services'!M17</f>
        <v>Update contract clauses for AI; finalise renewal (ACT-008)</v>
      </c>
      <c r="G58" s="304"/>
      <c r="H58" s="304"/>
      <c r="I58" s="273" t="str">
        <f>'Third-Party Risk Services'!K17</f>
        <v>Amber</v>
      </c>
      <c r="J58" s="273"/>
      <c r="K58" s="274" t="str">
        <f>'Third-Party Risk Services'!O17</f>
        <v>Sarah Mitchell</v>
      </c>
      <c r="L58" s="277"/>
    </row>
    <row r="59" spans="1:12">
      <c r="A59" s="306" t="str">
        <f>'Third-Party Risk Services'!A19</f>
        <v>VEN-015</v>
      </c>
      <c r="B59" s="307"/>
      <c r="C59" s="308" t="str">
        <f>'Third-Party Risk Services'!B19</f>
        <v>Splunk</v>
      </c>
      <c r="D59" s="308"/>
      <c r="E59" s="308"/>
      <c r="F59" s="309" t="str">
        <f>'Third-Party Risk Services'!M19</f>
        <v>Complete migration by Q4 2026 (RDM-010)</v>
      </c>
      <c r="G59" s="309"/>
      <c r="H59" s="309"/>
      <c r="I59" s="307" t="str">
        <f>'Third-Party Risk Services'!K19</f>
        <v>Amber</v>
      </c>
      <c r="J59" s="307"/>
      <c r="K59" s="308" t="str">
        <f>'Third-Party Risk Services'!O19</f>
        <v>Karen Holloway</v>
      </c>
      <c r="L59" s="310"/>
    </row>
    <row r="60" spans="1:12" ht="12" customHeight="1"/>
    <row r="61" spans="1:12" ht="27.95" customHeight="1">
      <c r="A61" s="253" t="s">
        <v>3481</v>
      </c>
      <c r="B61" s="253"/>
      <c r="C61" s="253"/>
      <c r="D61" s="253"/>
      <c r="E61" s="253"/>
      <c r="F61" s="253"/>
      <c r="G61" s="253"/>
      <c r="H61" s="253"/>
      <c r="I61" s="253"/>
      <c r="J61" s="253"/>
      <c r="K61" s="253"/>
      <c r="L61" s="253"/>
    </row>
    <row r="62" spans="1:12" ht="24" customHeight="1">
      <c r="A62" s="268" t="s">
        <v>116</v>
      </c>
      <c r="B62" s="269"/>
      <c r="C62" s="269" t="s">
        <v>117</v>
      </c>
      <c r="D62" s="269"/>
      <c r="E62" s="269"/>
      <c r="F62" s="269"/>
      <c r="G62" s="269" t="s">
        <v>119</v>
      </c>
      <c r="H62" s="269"/>
      <c r="I62" s="269" t="s">
        <v>17</v>
      </c>
      <c r="J62" s="269"/>
      <c r="K62" s="269" t="s">
        <v>120</v>
      </c>
      <c r="L62" s="271"/>
    </row>
    <row r="63" spans="1:12">
      <c r="A63" s="272" t="s">
        <v>122</v>
      </c>
      <c r="B63" s="273"/>
      <c r="C63" s="304" t="s">
        <v>123</v>
      </c>
      <c r="D63" s="304"/>
      <c r="E63" s="304"/>
      <c r="F63" s="304"/>
      <c r="G63" s="311" t="s">
        <v>125</v>
      </c>
      <c r="H63" s="311"/>
      <c r="I63" s="273" t="s">
        <v>24</v>
      </c>
      <c r="J63" s="273"/>
      <c r="K63" s="273" t="s">
        <v>126</v>
      </c>
      <c r="L63" s="312"/>
    </row>
    <row r="64" spans="1:12">
      <c r="A64" s="278" t="s">
        <v>128</v>
      </c>
      <c r="B64" s="279"/>
      <c r="C64" s="305" t="s">
        <v>129</v>
      </c>
      <c r="D64" s="305"/>
      <c r="E64" s="305"/>
      <c r="F64" s="305"/>
      <c r="G64" s="313" t="s">
        <v>131</v>
      </c>
      <c r="H64" s="313"/>
      <c r="I64" s="279" t="s">
        <v>24</v>
      </c>
      <c r="J64" s="279"/>
      <c r="K64" s="314" t="s">
        <v>132</v>
      </c>
      <c r="L64" s="315"/>
    </row>
    <row r="65" spans="1:12">
      <c r="A65" s="272" t="s">
        <v>133</v>
      </c>
      <c r="B65" s="273"/>
      <c r="C65" s="304" t="s">
        <v>134</v>
      </c>
      <c r="D65" s="304"/>
      <c r="E65" s="304"/>
      <c r="F65" s="304"/>
      <c r="G65" s="311" t="s">
        <v>136</v>
      </c>
      <c r="H65" s="311"/>
      <c r="I65" s="273" t="s">
        <v>24</v>
      </c>
      <c r="J65" s="273"/>
      <c r="K65" s="273" t="s">
        <v>126</v>
      </c>
      <c r="L65" s="312"/>
    </row>
    <row r="66" spans="1:12">
      <c r="A66" s="316" t="s">
        <v>138</v>
      </c>
      <c r="B66" s="314"/>
      <c r="C66" s="317" t="s">
        <v>139</v>
      </c>
      <c r="D66" s="317"/>
      <c r="E66" s="317"/>
      <c r="F66" s="317"/>
      <c r="G66" s="318" t="s">
        <v>141</v>
      </c>
      <c r="H66" s="318"/>
      <c r="I66" s="314" t="s">
        <v>37</v>
      </c>
      <c r="J66" s="314"/>
      <c r="K66" s="314" t="s">
        <v>132</v>
      </c>
      <c r="L66" s="315"/>
    </row>
    <row r="67" spans="1:12">
      <c r="A67" s="272" t="s">
        <v>142</v>
      </c>
      <c r="B67" s="273"/>
      <c r="C67" s="304" t="s">
        <v>143</v>
      </c>
      <c r="D67" s="304"/>
      <c r="E67" s="304"/>
      <c r="F67" s="304"/>
      <c r="G67" s="311" t="s">
        <v>145</v>
      </c>
      <c r="H67" s="311"/>
      <c r="I67" s="273" t="s">
        <v>24</v>
      </c>
      <c r="J67" s="273"/>
      <c r="K67" s="273" t="s">
        <v>146</v>
      </c>
      <c r="L67" s="312"/>
    </row>
    <row r="68" spans="1:12">
      <c r="A68" s="319" t="s">
        <v>147</v>
      </c>
      <c r="B68" s="320"/>
      <c r="C68" s="321" t="s">
        <v>148</v>
      </c>
      <c r="D68" s="321"/>
      <c r="E68" s="321"/>
      <c r="F68" s="321"/>
      <c r="G68" s="322" t="s">
        <v>125</v>
      </c>
      <c r="H68" s="322"/>
      <c r="I68" s="320" t="s">
        <v>150</v>
      </c>
      <c r="J68" s="320"/>
      <c r="K68" s="320" t="s">
        <v>126</v>
      </c>
      <c r="L68" s="323"/>
    </row>
    <row r="69" spans="1:12" ht="12" customHeight="1"/>
    <row r="70" spans="1:12" ht="27.95" customHeight="1">
      <c r="A70" s="253" t="s">
        <v>3482</v>
      </c>
      <c r="B70" s="253"/>
      <c r="C70" s="253"/>
      <c r="D70" s="253"/>
      <c r="E70" s="253"/>
      <c r="F70" s="253"/>
      <c r="G70" s="253"/>
      <c r="H70" s="253"/>
      <c r="I70" s="253"/>
      <c r="J70" s="253"/>
      <c r="K70" s="253"/>
      <c r="L70" s="253"/>
    </row>
    <row r="71" spans="1:12" ht="24" customHeight="1">
      <c r="A71" s="268" t="s">
        <v>2990</v>
      </c>
      <c r="B71" s="269"/>
      <c r="C71" s="269" t="s">
        <v>3483</v>
      </c>
      <c r="D71" s="269"/>
      <c r="E71" s="269"/>
      <c r="F71" s="270" t="s">
        <v>2997</v>
      </c>
      <c r="G71" s="270" t="s">
        <v>277</v>
      </c>
      <c r="H71" s="270" t="s">
        <v>2996</v>
      </c>
      <c r="I71" s="270" t="s">
        <v>2995</v>
      </c>
      <c r="J71" s="270" t="s">
        <v>17</v>
      </c>
      <c r="K71" s="269" t="s">
        <v>2903</v>
      </c>
      <c r="L71" s="271"/>
    </row>
    <row r="72" spans="1:12" ht="89.25">
      <c r="A72" s="272" t="str">
        <f>'Implementation Roadmap'!A5</f>
        <v>RDM-001</v>
      </c>
      <c r="B72" s="273"/>
      <c r="C72" s="304" t="str">
        <f>'Implementation Roadmap'!B5&amp;" - "&amp;'Implementation Roadmap'!C5</f>
        <v>Customer-Facing AI Uplift - Customer-facing AI guardrail uplift (output filter, hallucination QA, complaint linkage)</v>
      </c>
      <c r="D72" s="304"/>
      <c r="E72" s="304"/>
      <c r="F72" s="324" t="str">
        <f>'Implementation Roadmap'!J5</f>
        <v>Phase 2 - Embed</v>
      </c>
      <c r="G72" s="275" t="str">
        <f>'Implementation Roadmap'!H5</f>
        <v>In Progress</v>
      </c>
      <c r="H72" s="325">
        <f>'Implementation Roadmap'!I5</f>
        <v>0.55000000000000004</v>
      </c>
      <c r="I72" s="275" t="str">
        <f>'Implementation Roadmap'!G5</f>
        <v>30/09/2026</v>
      </c>
      <c r="J72" s="275" t="str">
        <f>'Implementation Roadmap'!E5</f>
        <v>Olivia Bennett</v>
      </c>
      <c r="K72" s="304" t="str">
        <f>'Implementation Roadmap'!L5</f>
        <v>Salesforce Einstein-feature decision pending</v>
      </c>
      <c r="L72" s="326"/>
    </row>
    <row r="73" spans="1:12" ht="89.25">
      <c r="A73" s="278" t="str">
        <f>'Implementation Roadmap'!A6</f>
        <v>RDM-002</v>
      </c>
      <c r="B73" s="279"/>
      <c r="C73" s="305" t="str">
        <f>'Implementation Roadmap'!B6&amp;" - "&amp;'Implementation Roadmap'!C6</f>
        <v>GenAI Productivity - GenAI productivity tooling sensitivity-label remediation programme</v>
      </c>
      <c r="D73" s="305"/>
      <c r="E73" s="305"/>
      <c r="F73" s="327" t="str">
        <f>'Implementation Roadmap'!J6</f>
        <v>Phase 2 - Embed</v>
      </c>
      <c r="G73" s="281" t="str">
        <f>'Implementation Roadmap'!H6</f>
        <v>In Progress</v>
      </c>
      <c r="H73" s="328">
        <f>'Implementation Roadmap'!I6</f>
        <v>0.4</v>
      </c>
      <c r="I73" s="281" t="str">
        <f>'Implementation Roadmap'!G6</f>
        <v>31/12/2026</v>
      </c>
      <c r="J73" s="281" t="str">
        <f>'Implementation Roadmap'!E6</f>
        <v>Karen Holloway</v>
      </c>
      <c r="K73" s="305" t="str">
        <f>'Implementation Roadmap'!L6</f>
        <v>Closes legacy SharePoint label gap</v>
      </c>
      <c r="L73" s="329"/>
    </row>
    <row r="74" spans="1:12" ht="89.25">
      <c r="A74" s="272" t="str">
        <f>'Implementation Roadmap'!A7</f>
        <v>RDM-003</v>
      </c>
      <c r="B74" s="273"/>
      <c r="C74" s="304" t="str">
        <f>'Implementation Roadmap'!B7&amp;" - "&amp;'Implementation Roadmap'!C7</f>
        <v>Pricing/UW Assurance - Pricing fairness review programme uplift; bias testing harness</v>
      </c>
      <c r="D74" s="304"/>
      <c r="E74" s="304"/>
      <c r="F74" s="324" t="str">
        <f>'Implementation Roadmap'!J7</f>
        <v>Phase 2 - Embed</v>
      </c>
      <c r="G74" s="275" t="str">
        <f>'Implementation Roadmap'!H7</f>
        <v>On Track</v>
      </c>
      <c r="H74" s="325">
        <f>'Implementation Roadmap'!I7</f>
        <v>0.3</v>
      </c>
      <c r="I74" s="275" t="str">
        <f>'Implementation Roadmap'!G7</f>
        <v>30/06/2027</v>
      </c>
      <c r="J74" s="275" t="str">
        <f>'Implementation Roadmap'!E7</f>
        <v>Helen Carter</v>
      </c>
      <c r="K74" s="304" t="str">
        <f>'Implementation Roadmap'!L7</f>
        <v>Embedded in pricing committee</v>
      </c>
      <c r="L74" s="326"/>
    </row>
    <row r="75" spans="1:12" ht="89.25">
      <c r="A75" s="278" t="str">
        <f>'Implementation Roadmap'!A8</f>
        <v>RDM-004</v>
      </c>
      <c r="B75" s="279"/>
      <c r="C75" s="305" t="str">
        <f>'Implementation Roadmap'!B8&amp;" - "&amp;'Implementation Roadmap'!C8</f>
        <v>Claims AI Resilience - Tier 2 DR plan refresh and tabletop exercise programme</v>
      </c>
      <c r="D75" s="305"/>
      <c r="E75" s="305"/>
      <c r="F75" s="327" t="str">
        <f>'Implementation Roadmap'!J8</f>
        <v>Phase 2 - Embed</v>
      </c>
      <c r="G75" s="281" t="str">
        <f>'Implementation Roadmap'!H8</f>
        <v>On Track</v>
      </c>
      <c r="H75" s="328">
        <f>'Implementation Roadmap'!I8</f>
        <v>0.25</v>
      </c>
      <c r="I75" s="281" t="str">
        <f>'Implementation Roadmap'!G8</f>
        <v>31/12/2026</v>
      </c>
      <c r="J75" s="281" t="str">
        <f>'Implementation Roadmap'!E8</f>
        <v>James Whitfield</v>
      </c>
      <c r="K75" s="305" t="str">
        <f>'Implementation Roadmap'!L8</f>
        <v>Aligned with PRA operational resilience</v>
      </c>
      <c r="L75" s="329"/>
    </row>
    <row r="76" spans="1:12" ht="89.25">
      <c r="A76" s="272" t="str">
        <f>'Implementation Roadmap'!A9</f>
        <v>RDM-005</v>
      </c>
      <c r="B76" s="273"/>
      <c r="C76" s="304" t="str">
        <f>'Implementation Roadmap'!B9&amp;" - "&amp;'Implementation Roadmap'!C9</f>
        <v>Third-Party Oversight - Vendor exit planning for Tier-1 AI providers (incl. VEN-001 and VEN-006)</v>
      </c>
      <c r="D76" s="304"/>
      <c r="E76" s="304"/>
      <c r="F76" s="324" t="str">
        <f>'Implementation Roadmap'!J9</f>
        <v>Phase 2 - Embed</v>
      </c>
      <c r="G76" s="275" t="str">
        <f>'Implementation Roadmap'!H9</f>
        <v>On Track</v>
      </c>
      <c r="H76" s="325">
        <f>'Implementation Roadmap'!I9</f>
        <v>0.2</v>
      </c>
      <c r="I76" s="275" t="str">
        <f>'Implementation Roadmap'!G9</f>
        <v>30/06/2027</v>
      </c>
      <c r="J76" s="275" t="str">
        <f>'Implementation Roadmap'!E9</f>
        <v>Sarah Mitchell</v>
      </c>
      <c r="K76" s="304" t="str">
        <f>'Implementation Roadmap'!L9</f>
        <v>Two plans drafted; remainder due</v>
      </c>
      <c r="L76" s="326"/>
    </row>
    <row r="77" spans="1:12" ht="89.25">
      <c r="A77" s="278" t="str">
        <f>'Implementation Roadmap'!A10</f>
        <v>RDM-006</v>
      </c>
      <c r="B77" s="279"/>
      <c r="C77" s="305" t="str">
        <f>'Implementation Roadmap'!B10&amp;" - "&amp;'Implementation Roadmap'!C10</f>
        <v>Document AI Hardening - Vendor change-window controls and QA harness expansion</v>
      </c>
      <c r="D77" s="305"/>
      <c r="E77" s="305"/>
      <c r="F77" s="327" t="str">
        <f>'Implementation Roadmap'!J10</f>
        <v>Phase 2 - Embed</v>
      </c>
      <c r="G77" s="281" t="str">
        <f>'Implementation Roadmap'!H10</f>
        <v>On Track</v>
      </c>
      <c r="H77" s="328">
        <f>'Implementation Roadmap'!I10</f>
        <v>0.15</v>
      </c>
      <c r="I77" s="281" t="str">
        <f>'Implementation Roadmap'!G10</f>
        <v>30/11/2026</v>
      </c>
      <c r="J77" s="281" t="str">
        <f>'Implementation Roadmap'!E10</f>
        <v>Mohammed Iqbal</v>
      </c>
      <c r="K77" s="305" t="str">
        <f>'Implementation Roadmap'!L10</f>
        <v>Triggered by INC-008</v>
      </c>
      <c r="L77" s="329"/>
    </row>
    <row r="78" spans="1:12" ht="114.75">
      <c r="A78" s="272" t="str">
        <f>'Implementation Roadmap'!A11</f>
        <v>RDM-007</v>
      </c>
      <c r="B78" s="273"/>
      <c r="C78" s="304" t="str">
        <f>'Implementation Roadmap'!B11&amp;" - "&amp;'Implementation Roadmap'!C11</f>
        <v>ISO 42001 Readiness - ISO/IEC 42001 internal readiness assessment and remediation</v>
      </c>
      <c r="D78" s="304"/>
      <c r="E78" s="304"/>
      <c r="F78" s="324" t="str">
        <f>'Implementation Roadmap'!J11</f>
        <v>Phase 1 - Foundation</v>
      </c>
      <c r="G78" s="275" t="str">
        <f>'Implementation Roadmap'!H11</f>
        <v>On Track</v>
      </c>
      <c r="H78" s="325">
        <f>'Implementation Roadmap'!I11</f>
        <v>0.5</v>
      </c>
      <c r="I78" s="275" t="str">
        <f>'Implementation Roadmap'!G11</f>
        <v>31/12/2026</v>
      </c>
      <c r="J78" s="275" t="str">
        <f>'Implementation Roadmap'!E11</f>
        <v>Sarah Mitchell</v>
      </c>
      <c r="K78" s="304" t="str">
        <f>'Implementation Roadmap'!L11</f>
        <v>Aimed at certification readiness Q1 2027</v>
      </c>
      <c r="L78" s="326"/>
    </row>
    <row r="79" spans="1:12" ht="114.75">
      <c r="A79" s="278" t="str">
        <f>'Implementation Roadmap'!A12</f>
        <v>RDM-008</v>
      </c>
      <c r="B79" s="279"/>
      <c r="C79" s="305" t="str">
        <f>'Implementation Roadmap'!B12&amp;" - "&amp;'Implementation Roadmap'!C12</f>
        <v>Lifecycle Management - AI lifecycle management framework v2 (intake-to-retirement playbooks)</v>
      </c>
      <c r="D79" s="305"/>
      <c r="E79" s="305"/>
      <c r="F79" s="327" t="str">
        <f>'Implementation Roadmap'!J12</f>
        <v>Phase 1 - Foundation</v>
      </c>
      <c r="G79" s="281" t="str">
        <f>'Implementation Roadmap'!H12</f>
        <v>In Progress</v>
      </c>
      <c r="H79" s="328">
        <f>'Implementation Roadmap'!I12</f>
        <v>0.45</v>
      </c>
      <c r="I79" s="281" t="str">
        <f>'Implementation Roadmap'!G12</f>
        <v>31/10/2026</v>
      </c>
      <c r="J79" s="281" t="str">
        <f>'Implementation Roadmap'!E12</f>
        <v>Daniel O'Reilly</v>
      </c>
      <c r="K79" s="305" t="str">
        <f>'Implementation Roadmap'!L12</f>
        <v>Embeds quarterly review cadence</v>
      </c>
      <c r="L79" s="329"/>
    </row>
    <row r="80" spans="1:12" ht="89.25">
      <c r="A80" s="272" t="str">
        <f>'Implementation Roadmap'!A13</f>
        <v>RDM-009</v>
      </c>
      <c r="B80" s="273"/>
      <c r="C80" s="304" t="str">
        <f>'Implementation Roadmap'!B13&amp;" - "&amp;'Implementation Roadmap'!C13</f>
        <v>AI Knowledge Management - Compliance and HR knowledge corpus controls plus bias review framework</v>
      </c>
      <c r="D80" s="304"/>
      <c r="E80" s="304"/>
      <c r="F80" s="324" t="str">
        <f>'Implementation Roadmap'!J13</f>
        <v>Phase 2 - Embed</v>
      </c>
      <c r="G80" s="275" t="str">
        <f>'Implementation Roadmap'!H13</f>
        <v>On Track</v>
      </c>
      <c r="H80" s="325">
        <f>'Implementation Roadmap'!I13</f>
        <v>0.35</v>
      </c>
      <c r="I80" s="275" t="str">
        <f>'Implementation Roadmap'!G13</f>
        <v>30/09/2026</v>
      </c>
      <c r="J80" s="275" t="str">
        <f>'Implementation Roadmap'!E13</f>
        <v>Rebecca Lloyd</v>
      </c>
      <c r="K80" s="304" t="str">
        <f>'Implementation Roadmap'!L13</f>
        <v>Supports AUC-008 and AUC-016</v>
      </c>
      <c r="L80" s="326"/>
    </row>
    <row r="81" spans="1:12" ht="89.25">
      <c r="A81" s="278" t="str">
        <f>'Implementation Roadmap'!A14</f>
        <v>RDM-010</v>
      </c>
      <c r="B81" s="279"/>
      <c r="C81" s="305" t="str">
        <f>'Implementation Roadmap'!B14&amp;" - "&amp;'Implementation Roadmap'!C14</f>
        <v>SOC and SIEM Modernisation - Splunk to Sentinel migration; Copilot for Security expansion to Azure subs</v>
      </c>
      <c r="D81" s="305"/>
      <c r="E81" s="305"/>
      <c r="F81" s="327" t="str">
        <f>'Implementation Roadmap'!J14</f>
        <v>Phase 2 - Embed</v>
      </c>
      <c r="G81" s="281" t="str">
        <f>'Implementation Roadmap'!H14</f>
        <v>On Track</v>
      </c>
      <c r="H81" s="328">
        <f>'Implementation Roadmap'!I14</f>
        <v>0.6</v>
      </c>
      <c r="I81" s="281" t="str">
        <f>'Implementation Roadmap'!G14</f>
        <v>31/12/2026</v>
      </c>
      <c r="J81" s="281" t="str">
        <f>'Implementation Roadmap'!E14</f>
        <v>Karen Holloway</v>
      </c>
      <c r="K81" s="305" t="str">
        <f>'Implementation Roadmap'!L14</f>
        <v>Critical to retire dual-running cost</v>
      </c>
      <c r="L81" s="329"/>
    </row>
    <row r="82" spans="1:12" ht="102">
      <c r="A82" s="272" t="str">
        <f>'Implementation Roadmap'!A15</f>
        <v>RDM-011</v>
      </c>
      <c r="B82" s="273"/>
      <c r="C82" s="304" t="str">
        <f>'Implementation Roadmap'!B15&amp;" - "&amp;'Implementation Roadmap'!C15</f>
        <v>Operating Model - AI Security operating model uplift (FTE plan plus sourcing model refresh)</v>
      </c>
      <c r="D82" s="304"/>
      <c r="E82" s="304"/>
      <c r="F82" s="324" t="str">
        <f>'Implementation Roadmap'!J15</f>
        <v>Phase 3 - Optimise</v>
      </c>
      <c r="G82" s="275" t="str">
        <f>'Implementation Roadmap'!H15</f>
        <v>Not Started</v>
      </c>
      <c r="H82" s="325">
        <f>'Implementation Roadmap'!I15</f>
        <v>0</v>
      </c>
      <c r="I82" s="275" t="str">
        <f>'Implementation Roadmap'!G15</f>
        <v>31/03/2027</v>
      </c>
      <c r="J82" s="275" t="str">
        <f>'Implementation Roadmap'!E15</f>
        <v>Sarah Mitchell</v>
      </c>
      <c r="K82" s="304" t="str">
        <f>'Implementation Roadmap'!L15</f>
        <v>Ties to vacancies in Resource Plan</v>
      </c>
      <c r="L82" s="326"/>
    </row>
    <row r="83" spans="1:12" ht="102">
      <c r="A83" s="306" t="str">
        <f>'Implementation Roadmap'!A16</f>
        <v>RDM-012</v>
      </c>
      <c r="B83" s="307"/>
      <c r="C83" s="309" t="str">
        <f>'Implementation Roadmap'!B16&amp;" - "&amp;'Implementation Roadmap'!C16</f>
        <v>Resilience Modelling - Quantitative scenario modelling refresh for AI risks</v>
      </c>
      <c r="D83" s="309"/>
      <c r="E83" s="309"/>
      <c r="F83" s="330" t="str">
        <f>'Implementation Roadmap'!J16</f>
        <v>Phase 3 - Optimise</v>
      </c>
      <c r="G83" s="331" t="str">
        <f>'Implementation Roadmap'!H16</f>
        <v>Not Started</v>
      </c>
      <c r="H83" s="332">
        <f>'Implementation Roadmap'!I16</f>
        <v>0</v>
      </c>
      <c r="I83" s="331" t="str">
        <f>'Implementation Roadmap'!G16</f>
        <v>30/06/2027</v>
      </c>
      <c r="J83" s="331" t="str">
        <f>'Implementation Roadmap'!E16</f>
        <v>Mohammed Iqbal</v>
      </c>
      <c r="K83" s="309" t="str">
        <f>'Implementation Roadmap'!L16</f>
        <v>Improves quantification depth</v>
      </c>
      <c r="L83" s="333"/>
    </row>
    <row r="84" spans="1:12" ht="12" customHeight="1"/>
    <row r="85" spans="1:12" ht="27.95" customHeight="1">
      <c r="A85" s="253" t="s">
        <v>3484</v>
      </c>
      <c r="B85" s="253"/>
      <c r="C85" s="253"/>
      <c r="D85" s="253"/>
      <c r="E85" s="253"/>
      <c r="F85" s="253"/>
      <c r="G85" s="253"/>
      <c r="H85" s="253"/>
      <c r="I85" s="253"/>
      <c r="J85" s="253"/>
      <c r="K85" s="253"/>
      <c r="L85" s="253"/>
    </row>
    <row r="86" spans="1:12" ht="20.100000000000001" customHeight="1">
      <c r="A86" s="257" t="s">
        <v>3485</v>
      </c>
      <c r="B86" s="258"/>
      <c r="C86" s="258"/>
      <c r="D86" s="257" t="s">
        <v>3486</v>
      </c>
      <c r="E86" s="258"/>
      <c r="F86" s="258"/>
      <c r="G86" s="257" t="s">
        <v>3487</v>
      </c>
      <c r="H86" s="258"/>
      <c r="I86" s="258"/>
      <c r="J86" s="257" t="s">
        <v>3488</v>
      </c>
      <c r="K86" s="258"/>
      <c r="L86" s="259"/>
    </row>
    <row r="87" spans="1:12" ht="39.950000000000003" customHeight="1">
      <c r="A87" s="334">
        <f>'Financial Analysis'!L8</f>
        <v>6159.3</v>
      </c>
      <c r="B87" s="299"/>
      <c r="C87" s="299"/>
      <c r="D87" s="334">
        <f>'Financial Analysis'!L5</f>
        <v>4786</v>
      </c>
      <c r="E87" s="299"/>
      <c r="F87" s="299"/>
      <c r="G87" s="334">
        <f>'Financial Analysis'!L6</f>
        <v>1080</v>
      </c>
      <c r="H87" s="299"/>
      <c r="I87" s="299"/>
      <c r="J87" s="334">
        <f>'Financial Analysis'!L7</f>
        <v>293.3</v>
      </c>
      <c r="K87" s="299"/>
      <c r="L87" s="300"/>
    </row>
    <row r="88" spans="1:12" ht="20.100000000000001" customHeight="1">
      <c r="A88" s="301" t="s">
        <v>395</v>
      </c>
      <c r="B88" s="302"/>
      <c r="C88" s="302"/>
      <c r="D88" s="301" t="str">
        <f>TEXT('Financial Analysis'!L9,"0.0%")&amp;" of total"</f>
        <v>77.7% of total</v>
      </c>
      <c r="E88" s="302"/>
      <c r="F88" s="302"/>
      <c r="G88" s="301" t="str">
        <f>TEXT('Financial Analysis'!L10,"0.0%")&amp;" of total"</f>
        <v>17.5% of total</v>
      </c>
      <c r="H88" s="302"/>
      <c r="I88" s="302"/>
      <c r="J88" s="301" t="s">
        <v>3489</v>
      </c>
      <c r="K88" s="302"/>
      <c r="L88" s="303"/>
    </row>
    <row r="89" spans="1:12" ht="6" customHeight="1"/>
    <row r="90" spans="1:12" ht="20.100000000000001" customHeight="1">
      <c r="A90" s="257" t="s">
        <v>2826</v>
      </c>
      <c r="B90" s="258"/>
      <c r="C90" s="258"/>
      <c r="D90" s="257" t="s">
        <v>2834</v>
      </c>
      <c r="E90" s="258"/>
      <c r="F90" s="258"/>
      <c r="G90" s="257" t="s">
        <v>3490</v>
      </c>
      <c r="H90" s="258"/>
      <c r="I90" s="258"/>
      <c r="J90" s="257" t="s">
        <v>3491</v>
      </c>
      <c r="K90" s="258"/>
      <c r="L90" s="259"/>
    </row>
    <row r="91" spans="1:12" ht="39.950000000000003" customHeight="1">
      <c r="A91" s="298">
        <f>'Resource Planning'!N6</f>
        <v>16</v>
      </c>
      <c r="B91" s="299"/>
      <c r="C91" s="299"/>
      <c r="D91" s="298">
        <f>'Resource Planning'!N7</f>
        <v>21</v>
      </c>
      <c r="E91" s="299"/>
      <c r="F91" s="299"/>
      <c r="G91" s="298">
        <f>'Resource Planning'!N8</f>
        <v>5</v>
      </c>
      <c r="H91" s="299"/>
      <c r="I91" s="299"/>
      <c r="J91" s="298" t="str">
        <f>'Resource Planning'!N9&amp;" / "&amp;'Resource Planning'!N10</f>
        <v>8 / 4</v>
      </c>
      <c r="K91" s="299"/>
      <c r="L91" s="300"/>
    </row>
    <row r="92" spans="1:12" ht="20.100000000000001" customHeight="1">
      <c r="A92" s="301" t="s">
        <v>3492</v>
      </c>
      <c r="B92" s="302"/>
      <c r="C92" s="302"/>
      <c r="D92" s="301" t="s">
        <v>3493</v>
      </c>
      <c r="E92" s="302"/>
      <c r="F92" s="302"/>
      <c r="G92" s="301" t="s">
        <v>3494</v>
      </c>
      <c r="H92" s="302"/>
      <c r="I92" s="302"/>
      <c r="J92" s="301" t="s">
        <v>3495</v>
      </c>
      <c r="K92" s="302"/>
      <c r="L92" s="303"/>
    </row>
    <row r="93" spans="1:12" ht="12" customHeight="1"/>
    <row r="94" spans="1:12" ht="27.95" customHeight="1">
      <c r="A94" s="253" t="s">
        <v>3496</v>
      </c>
      <c r="B94" s="253"/>
      <c r="C94" s="253"/>
      <c r="D94" s="253"/>
      <c r="E94" s="253"/>
      <c r="F94" s="253"/>
      <c r="G94" s="253"/>
      <c r="H94" s="253"/>
      <c r="I94" s="253"/>
      <c r="J94" s="253"/>
      <c r="K94" s="253"/>
      <c r="L94" s="253"/>
    </row>
    <row r="95" spans="1:12" ht="15" customHeight="1">
      <c r="A95" s="338" t="s">
        <v>3497</v>
      </c>
      <c r="B95" s="336"/>
      <c r="C95" s="336"/>
      <c r="D95" s="336"/>
      <c r="E95" s="336"/>
      <c r="F95" s="336"/>
      <c r="G95" s="336"/>
      <c r="H95" s="336"/>
      <c r="I95" s="336"/>
      <c r="J95" s="336"/>
      <c r="K95" s="336"/>
      <c r="L95" s="341"/>
    </row>
    <row r="96" spans="1:12" ht="15" customHeight="1">
      <c r="A96" s="339"/>
      <c r="B96" s="335"/>
      <c r="C96" s="335"/>
      <c r="D96" s="335"/>
      <c r="E96" s="335"/>
      <c r="F96" s="335"/>
      <c r="G96" s="335"/>
      <c r="H96" s="335"/>
      <c r="I96" s="335"/>
      <c r="J96" s="335"/>
      <c r="K96" s="335"/>
      <c r="L96" s="342"/>
    </row>
    <row r="97" spans="1:12" ht="15" customHeight="1">
      <c r="A97" s="340"/>
      <c r="B97" s="337"/>
      <c r="C97" s="337"/>
      <c r="D97" s="337"/>
      <c r="E97" s="337"/>
      <c r="F97" s="337"/>
      <c r="G97" s="337"/>
      <c r="H97" s="337"/>
      <c r="I97" s="337"/>
      <c r="J97" s="337"/>
      <c r="K97" s="337"/>
      <c r="L97" s="343"/>
    </row>
    <row r="98" spans="1:12" ht="24" customHeight="1">
      <c r="A98" s="344" t="s">
        <v>3498</v>
      </c>
      <c r="B98" s="344"/>
      <c r="C98" s="344"/>
      <c r="D98" s="344"/>
      <c r="E98" s="344"/>
      <c r="F98" s="344"/>
      <c r="G98" s="344"/>
      <c r="H98" s="344"/>
      <c r="I98" s="344"/>
      <c r="J98" s="344"/>
      <c r="K98" s="344"/>
      <c r="L98" s="344"/>
    </row>
    <row r="99" spans="1:12">
      <c r="A99" s="345" t="s">
        <v>3499</v>
      </c>
      <c r="B99" s="346"/>
      <c r="C99" s="346"/>
      <c r="D99" s="347" t="s">
        <v>3500</v>
      </c>
      <c r="E99" s="347"/>
      <c r="F99" s="347"/>
      <c r="G99" s="347"/>
      <c r="H99" s="347"/>
      <c r="I99" s="347"/>
      <c r="J99" s="347"/>
      <c r="K99" s="347"/>
      <c r="L99" s="348"/>
    </row>
    <row r="100" spans="1:12">
      <c r="A100" s="349" t="s">
        <v>3501</v>
      </c>
      <c r="B100" s="350"/>
      <c r="C100" s="350"/>
      <c r="D100" s="351" t="s">
        <v>3502</v>
      </c>
      <c r="E100" s="351"/>
      <c r="F100" s="351"/>
      <c r="G100" s="351"/>
      <c r="H100" s="351"/>
      <c r="I100" s="351"/>
      <c r="J100" s="351"/>
      <c r="K100" s="351"/>
      <c r="L100" s="352"/>
    </row>
    <row r="101" spans="1:12">
      <c r="A101" s="353" t="s">
        <v>3503</v>
      </c>
      <c r="B101" s="354"/>
      <c r="C101" s="354"/>
      <c r="D101" s="355" t="s">
        <v>3504</v>
      </c>
      <c r="E101" s="355"/>
      <c r="F101" s="355"/>
      <c r="G101" s="355"/>
      <c r="H101" s="355"/>
      <c r="I101" s="355"/>
      <c r="J101" s="355"/>
      <c r="K101" s="355"/>
      <c r="L101" s="356"/>
    </row>
    <row r="102" spans="1:12">
      <c r="A102" s="357" t="s">
        <v>157</v>
      </c>
      <c r="B102" s="358"/>
      <c r="C102" s="358"/>
      <c r="D102" s="359" t="s">
        <v>3505</v>
      </c>
      <c r="E102" s="359"/>
      <c r="F102" s="359"/>
      <c r="G102" s="359"/>
      <c r="H102" s="359"/>
      <c r="I102" s="359"/>
      <c r="J102" s="359"/>
      <c r="K102" s="359"/>
      <c r="L102" s="360"/>
    </row>
    <row r="103" spans="1:12">
      <c r="A103" s="353" t="s">
        <v>3506</v>
      </c>
      <c r="B103" s="354"/>
      <c r="C103" s="354"/>
      <c r="D103" s="355" t="s">
        <v>3507</v>
      </c>
      <c r="E103" s="355"/>
      <c r="F103" s="355"/>
      <c r="G103" s="355"/>
      <c r="H103" s="355"/>
      <c r="I103" s="355"/>
      <c r="J103" s="355"/>
      <c r="K103" s="355"/>
      <c r="L103" s="356"/>
    </row>
    <row r="104" spans="1:12">
      <c r="A104" s="357" t="s">
        <v>3508</v>
      </c>
      <c r="B104" s="358"/>
      <c r="C104" s="358"/>
      <c r="D104" s="359" t="s">
        <v>3509</v>
      </c>
      <c r="E104" s="359"/>
      <c r="F104" s="359"/>
      <c r="G104" s="359"/>
      <c r="H104" s="359"/>
      <c r="I104" s="359"/>
      <c r="J104" s="359"/>
      <c r="K104" s="359"/>
      <c r="L104" s="360"/>
    </row>
    <row r="105" spans="1:12">
      <c r="A105" s="361" t="s">
        <v>3510</v>
      </c>
      <c r="B105" s="362"/>
      <c r="C105" s="362"/>
      <c r="D105" s="363" t="s">
        <v>3511</v>
      </c>
      <c r="E105" s="363"/>
      <c r="F105" s="363"/>
      <c r="G105" s="363"/>
      <c r="H105" s="363"/>
      <c r="I105" s="363"/>
      <c r="J105" s="363"/>
      <c r="K105" s="363"/>
      <c r="L105" s="364"/>
    </row>
    <row r="106" spans="1:12" ht="12" customHeight="1"/>
    <row r="107" spans="1:12" ht="27.95" customHeight="1">
      <c r="A107" s="253" t="s">
        <v>3512</v>
      </c>
      <c r="B107" s="253"/>
      <c r="C107" s="253"/>
      <c r="D107" s="253"/>
      <c r="E107" s="253"/>
      <c r="F107" s="253"/>
      <c r="G107" s="253"/>
      <c r="H107" s="253"/>
      <c r="I107" s="253"/>
      <c r="J107" s="253"/>
      <c r="K107" s="253"/>
      <c r="L107" s="253"/>
    </row>
    <row r="108" spans="1:12">
      <c r="A108" s="345" t="s">
        <v>3513</v>
      </c>
      <c r="B108" s="346"/>
      <c r="C108" s="346"/>
      <c r="D108" s="347" t="s">
        <v>3514</v>
      </c>
      <c r="E108" s="347"/>
      <c r="F108" s="347"/>
      <c r="G108" s="347"/>
      <c r="H108" s="347"/>
      <c r="I108" s="347"/>
      <c r="J108" s="347"/>
      <c r="K108" s="347"/>
      <c r="L108" s="348"/>
    </row>
    <row r="109" spans="1:12">
      <c r="A109" s="349" t="s">
        <v>3515</v>
      </c>
      <c r="B109" s="350"/>
      <c r="C109" s="350"/>
      <c r="D109" s="351" t="s">
        <v>3516</v>
      </c>
      <c r="E109" s="351"/>
      <c r="F109" s="351"/>
      <c r="G109" s="351"/>
      <c r="H109" s="351"/>
      <c r="I109" s="351"/>
      <c r="J109" s="351"/>
      <c r="K109" s="351"/>
      <c r="L109" s="352"/>
    </row>
    <row r="110" spans="1:12">
      <c r="A110" s="353" t="s">
        <v>3517</v>
      </c>
      <c r="B110" s="354"/>
      <c r="C110" s="354"/>
      <c r="D110" s="355" t="s">
        <v>3518</v>
      </c>
      <c r="E110" s="355"/>
      <c r="F110" s="355"/>
      <c r="G110" s="355"/>
      <c r="H110" s="355"/>
      <c r="I110" s="355"/>
      <c r="J110" s="355"/>
      <c r="K110" s="355"/>
      <c r="L110" s="356"/>
    </row>
    <row r="111" spans="1:12">
      <c r="A111" s="357" t="s">
        <v>3519</v>
      </c>
      <c r="B111" s="358"/>
      <c r="C111" s="358"/>
      <c r="D111" s="359" t="s">
        <v>3520</v>
      </c>
      <c r="E111" s="359"/>
      <c r="F111" s="359"/>
      <c r="G111" s="359"/>
      <c r="H111" s="359"/>
      <c r="I111" s="359"/>
      <c r="J111" s="359"/>
      <c r="K111" s="359"/>
      <c r="L111" s="360"/>
    </row>
    <row r="112" spans="1:12">
      <c r="A112" s="361" t="s">
        <v>3521</v>
      </c>
      <c r="B112" s="362"/>
      <c r="C112" s="362"/>
      <c r="D112" s="363" t="s">
        <v>3522</v>
      </c>
      <c r="E112" s="363"/>
      <c r="F112" s="363"/>
      <c r="G112" s="363"/>
      <c r="H112" s="363"/>
      <c r="I112" s="363"/>
      <c r="J112" s="363"/>
      <c r="K112" s="363"/>
      <c r="L112" s="364"/>
    </row>
    <row r="113" spans="1:12" ht="12" customHeight="1"/>
    <row r="114" spans="1:12" ht="27.95" customHeight="1">
      <c r="A114" s="253" t="s">
        <v>3523</v>
      </c>
      <c r="B114" s="253"/>
      <c r="C114" s="253"/>
      <c r="D114" s="253"/>
      <c r="E114" s="253"/>
      <c r="F114" s="253"/>
      <c r="G114" s="253"/>
      <c r="H114" s="253"/>
      <c r="I114" s="253"/>
      <c r="J114" s="253"/>
      <c r="K114" s="253"/>
      <c r="L114" s="253"/>
    </row>
    <row r="115" spans="1:12" ht="20.100000000000001" customHeight="1">
      <c r="A115" s="255" t="s">
        <v>3524</v>
      </c>
      <c r="B115" s="254"/>
      <c r="C115" s="254"/>
      <c r="D115" s="255" t="s">
        <v>3525</v>
      </c>
      <c r="E115" s="254"/>
      <c r="F115" s="254"/>
      <c r="G115" s="255" t="s">
        <v>3526</v>
      </c>
      <c r="H115" s="254"/>
      <c r="I115" s="254"/>
      <c r="J115" s="255" t="s">
        <v>2414</v>
      </c>
      <c r="K115" s="254"/>
      <c r="L115" s="256"/>
    </row>
    <row r="116" spans="1:12" ht="39.950000000000003" customHeight="1">
      <c r="A116" s="366">
        <f>'KPI Tracking'!N6</f>
        <v>8</v>
      </c>
      <c r="B116" s="365"/>
      <c r="C116" s="365"/>
      <c r="D116" s="367">
        <f>'KPI Tracking'!N7</f>
        <v>2</v>
      </c>
      <c r="E116" s="368"/>
      <c r="F116" s="368"/>
      <c r="G116" s="369">
        <f>'KPI Tracking'!N8</f>
        <v>1</v>
      </c>
      <c r="H116" s="370"/>
      <c r="I116" s="370"/>
      <c r="J116" s="371">
        <f>'KPI Tracking'!N5</f>
        <v>11</v>
      </c>
      <c r="K116" s="372"/>
      <c r="L116" s="373"/>
    </row>
    <row r="117" spans="1:12" ht="20.100000000000001" customHeight="1">
      <c r="A117" s="296" t="s">
        <v>3527</v>
      </c>
      <c r="B117" s="295"/>
      <c r="C117" s="295"/>
      <c r="D117" s="296" t="s">
        <v>3528</v>
      </c>
      <c r="E117" s="295"/>
      <c r="F117" s="295"/>
      <c r="G117" s="296" t="s">
        <v>3529</v>
      </c>
      <c r="H117" s="295"/>
      <c r="I117" s="295"/>
      <c r="J117" s="296" t="s">
        <v>3530</v>
      </c>
      <c r="K117" s="295"/>
      <c r="L117" s="297"/>
    </row>
    <row r="118" spans="1:12" ht="12" customHeight="1"/>
    <row r="119" spans="1:12" ht="27.95" customHeight="1">
      <c r="A119" s="374" t="s">
        <v>3531</v>
      </c>
      <c r="B119" s="374"/>
      <c r="C119" s="374"/>
      <c r="D119" s="374"/>
      <c r="E119" s="374"/>
      <c r="F119" s="374"/>
      <c r="G119" s="374"/>
      <c r="H119" s="374"/>
      <c r="I119" s="374"/>
      <c r="J119" s="374"/>
      <c r="K119" s="374"/>
      <c r="L119" s="374"/>
    </row>
    <row r="120" spans="1:12" ht="21.95" customHeight="1">
      <c r="A120" s="375" t="s">
        <v>3532</v>
      </c>
      <c r="B120" s="375"/>
      <c r="C120" s="375"/>
      <c r="D120" s="375"/>
      <c r="E120" s="375"/>
      <c r="F120" s="375"/>
      <c r="G120" s="375"/>
      <c r="H120" s="375"/>
      <c r="I120" s="375"/>
      <c r="J120" s="375"/>
      <c r="K120" s="375"/>
      <c r="L120" s="375"/>
    </row>
  </sheetData>
  <mergeCells count="304">
    <mergeCell ref="A119:L119"/>
    <mergeCell ref="A120:L120"/>
    <mergeCell ref="A116:C116"/>
    <mergeCell ref="D116:F116"/>
    <mergeCell ref="G116:I116"/>
    <mergeCell ref="J116:L116"/>
    <mergeCell ref="A117:C117"/>
    <mergeCell ref="D117:F117"/>
    <mergeCell ref="G117:I117"/>
    <mergeCell ref="J117:L117"/>
    <mergeCell ref="A112:C112"/>
    <mergeCell ref="D112:L112"/>
    <mergeCell ref="A114:L114"/>
    <mergeCell ref="A115:C115"/>
    <mergeCell ref="D115:F115"/>
    <mergeCell ref="G115:I115"/>
    <mergeCell ref="J115:L115"/>
    <mergeCell ref="A109:C109"/>
    <mergeCell ref="D109:L109"/>
    <mergeCell ref="A110:C110"/>
    <mergeCell ref="D110:L110"/>
    <mergeCell ref="A111:C111"/>
    <mergeCell ref="D111:L111"/>
    <mergeCell ref="A104:C104"/>
    <mergeCell ref="D104:L104"/>
    <mergeCell ref="A105:C105"/>
    <mergeCell ref="D105:L105"/>
    <mergeCell ref="A107:L107"/>
    <mergeCell ref="A108:C108"/>
    <mergeCell ref="D108:L108"/>
    <mergeCell ref="A101:C101"/>
    <mergeCell ref="D101:L101"/>
    <mergeCell ref="A102:C102"/>
    <mergeCell ref="D102:L102"/>
    <mergeCell ref="A103:C103"/>
    <mergeCell ref="D103:L103"/>
    <mergeCell ref="A95:L97"/>
    <mergeCell ref="A98:L98"/>
    <mergeCell ref="A99:C99"/>
    <mergeCell ref="D99:L99"/>
    <mergeCell ref="A100:C100"/>
    <mergeCell ref="D100:L100"/>
    <mergeCell ref="A92:C92"/>
    <mergeCell ref="D92:F92"/>
    <mergeCell ref="G92:I92"/>
    <mergeCell ref="J92:L92"/>
    <mergeCell ref="A94:L94"/>
    <mergeCell ref="A90:C90"/>
    <mergeCell ref="D90:F90"/>
    <mergeCell ref="G90:I90"/>
    <mergeCell ref="J90:L90"/>
    <mergeCell ref="A91:C91"/>
    <mergeCell ref="D91:F91"/>
    <mergeCell ref="G91:I91"/>
    <mergeCell ref="J91:L91"/>
    <mergeCell ref="A87:C87"/>
    <mergeCell ref="D87:F87"/>
    <mergeCell ref="G87:I87"/>
    <mergeCell ref="J87:L87"/>
    <mergeCell ref="A88:C88"/>
    <mergeCell ref="D88:F88"/>
    <mergeCell ref="G88:I88"/>
    <mergeCell ref="J88:L88"/>
    <mergeCell ref="A83:B83"/>
    <mergeCell ref="C83:E83"/>
    <mergeCell ref="K83:L83"/>
    <mergeCell ref="A85:L85"/>
    <mergeCell ref="A86:C86"/>
    <mergeCell ref="D86:F86"/>
    <mergeCell ref="G86:I86"/>
    <mergeCell ref="J86:L86"/>
    <mergeCell ref="A81:B81"/>
    <mergeCell ref="C81:E81"/>
    <mergeCell ref="K81:L81"/>
    <mergeCell ref="A82:B82"/>
    <mergeCell ref="C82:E82"/>
    <mergeCell ref="K82:L82"/>
    <mergeCell ref="A79:B79"/>
    <mergeCell ref="C79:E79"/>
    <mergeCell ref="K79:L79"/>
    <mergeCell ref="A80:B80"/>
    <mergeCell ref="C80:E80"/>
    <mergeCell ref="K80:L80"/>
    <mergeCell ref="A77:B77"/>
    <mergeCell ref="C77:E77"/>
    <mergeCell ref="K77:L77"/>
    <mergeCell ref="A78:B78"/>
    <mergeCell ref="C78:E78"/>
    <mergeCell ref="K78:L78"/>
    <mergeCell ref="A75:B75"/>
    <mergeCell ref="C75:E75"/>
    <mergeCell ref="K75:L75"/>
    <mergeCell ref="A76:B76"/>
    <mergeCell ref="C76:E76"/>
    <mergeCell ref="K76:L76"/>
    <mergeCell ref="A73:B73"/>
    <mergeCell ref="C73:E73"/>
    <mergeCell ref="K73:L73"/>
    <mergeCell ref="A74:B74"/>
    <mergeCell ref="C74:E74"/>
    <mergeCell ref="K74:L74"/>
    <mergeCell ref="A70:L70"/>
    <mergeCell ref="A71:B71"/>
    <mergeCell ref="C71:E71"/>
    <mergeCell ref="K71:L71"/>
    <mergeCell ref="A72:B72"/>
    <mergeCell ref="C72:E72"/>
    <mergeCell ref="K72:L72"/>
    <mergeCell ref="A67:B67"/>
    <mergeCell ref="C67:F67"/>
    <mergeCell ref="G67:H67"/>
    <mergeCell ref="I67:J67"/>
    <mergeCell ref="K67:L67"/>
    <mergeCell ref="A68:B68"/>
    <mergeCell ref="C68:F68"/>
    <mergeCell ref="G68:H68"/>
    <mergeCell ref="I68:J68"/>
    <mergeCell ref="K68:L68"/>
    <mergeCell ref="A65:B65"/>
    <mergeCell ref="C65:F65"/>
    <mergeCell ref="G65:H65"/>
    <mergeCell ref="I65:J65"/>
    <mergeCell ref="K65:L65"/>
    <mergeCell ref="A66:B66"/>
    <mergeCell ref="C66:F66"/>
    <mergeCell ref="G66:H66"/>
    <mergeCell ref="I66:J66"/>
    <mergeCell ref="K66:L66"/>
    <mergeCell ref="A63:B63"/>
    <mergeCell ref="C63:F63"/>
    <mergeCell ref="G63:H63"/>
    <mergeCell ref="I63:J63"/>
    <mergeCell ref="K63:L63"/>
    <mergeCell ref="A64:B64"/>
    <mergeCell ref="C64:F64"/>
    <mergeCell ref="G64:H64"/>
    <mergeCell ref="I64:J64"/>
    <mergeCell ref="K64:L64"/>
    <mergeCell ref="A61:L61"/>
    <mergeCell ref="A62:B62"/>
    <mergeCell ref="C62:F62"/>
    <mergeCell ref="G62:H62"/>
    <mergeCell ref="I62:J62"/>
    <mergeCell ref="K62:L62"/>
    <mergeCell ref="A58:B58"/>
    <mergeCell ref="C58:E58"/>
    <mergeCell ref="F58:H58"/>
    <mergeCell ref="I58:J58"/>
    <mergeCell ref="K58:L58"/>
    <mergeCell ref="A59:B59"/>
    <mergeCell ref="C59:E59"/>
    <mergeCell ref="F59:H59"/>
    <mergeCell ref="I59:J59"/>
    <mergeCell ref="K59:L59"/>
    <mergeCell ref="A56:B56"/>
    <mergeCell ref="C56:E56"/>
    <mergeCell ref="F56:H56"/>
    <mergeCell ref="I56:J56"/>
    <mergeCell ref="K56:L56"/>
    <mergeCell ref="A57:B57"/>
    <mergeCell ref="C57:E57"/>
    <mergeCell ref="F57:H57"/>
    <mergeCell ref="I57:J57"/>
    <mergeCell ref="K57:L57"/>
    <mergeCell ref="A54:B54"/>
    <mergeCell ref="C54:E54"/>
    <mergeCell ref="F54:H54"/>
    <mergeCell ref="I54:J54"/>
    <mergeCell ref="K54:L54"/>
    <mergeCell ref="A55:B55"/>
    <mergeCell ref="C55:E55"/>
    <mergeCell ref="F55:H55"/>
    <mergeCell ref="I55:J55"/>
    <mergeCell ref="K55:L55"/>
    <mergeCell ref="A50:C50"/>
    <mergeCell ref="D50:F50"/>
    <mergeCell ref="G50:I50"/>
    <mergeCell ref="J50:L50"/>
    <mergeCell ref="A52:L52"/>
    <mergeCell ref="A53:B53"/>
    <mergeCell ref="C53:E53"/>
    <mergeCell ref="F53:H53"/>
    <mergeCell ref="I53:J53"/>
    <mergeCell ref="K53:L53"/>
    <mergeCell ref="A47:L47"/>
    <mergeCell ref="A48:C48"/>
    <mergeCell ref="D48:F48"/>
    <mergeCell ref="G48:I48"/>
    <mergeCell ref="J48:L48"/>
    <mergeCell ref="A49:C49"/>
    <mergeCell ref="D49:F49"/>
    <mergeCell ref="G49:I49"/>
    <mergeCell ref="J49:L49"/>
    <mergeCell ref="A44:B44"/>
    <mergeCell ref="C44:E44"/>
    <mergeCell ref="K44:L44"/>
    <mergeCell ref="A45:B45"/>
    <mergeCell ref="C45:E45"/>
    <mergeCell ref="K45:L45"/>
    <mergeCell ref="A42:B42"/>
    <mergeCell ref="C42:E42"/>
    <mergeCell ref="K42:L42"/>
    <mergeCell ref="A43:B43"/>
    <mergeCell ref="C43:E43"/>
    <mergeCell ref="K43:L43"/>
    <mergeCell ref="A40:B40"/>
    <mergeCell ref="C40:E40"/>
    <mergeCell ref="K40:L40"/>
    <mergeCell ref="A41:B41"/>
    <mergeCell ref="C41:E41"/>
    <mergeCell ref="K41:L41"/>
    <mergeCell ref="A38:B38"/>
    <mergeCell ref="C38:E38"/>
    <mergeCell ref="K38:L38"/>
    <mergeCell ref="A39:B39"/>
    <mergeCell ref="C39:E39"/>
    <mergeCell ref="K39:L39"/>
    <mergeCell ref="A36:B36"/>
    <mergeCell ref="C36:E36"/>
    <mergeCell ref="K36:L36"/>
    <mergeCell ref="A37:B37"/>
    <mergeCell ref="C37:E37"/>
    <mergeCell ref="K37:L37"/>
    <mergeCell ref="A32:B32"/>
    <mergeCell ref="C32:F32"/>
    <mergeCell ref="K32:L32"/>
    <mergeCell ref="A33:F33"/>
    <mergeCell ref="K33:L33"/>
    <mergeCell ref="A35:L35"/>
    <mergeCell ref="A30:B30"/>
    <mergeCell ref="C30:F30"/>
    <mergeCell ref="K30:L30"/>
    <mergeCell ref="A31:B31"/>
    <mergeCell ref="C31:F31"/>
    <mergeCell ref="K31:L31"/>
    <mergeCell ref="A28:B28"/>
    <mergeCell ref="C28:F28"/>
    <mergeCell ref="K28:L28"/>
    <mergeCell ref="A29:B29"/>
    <mergeCell ref="C29:F29"/>
    <mergeCell ref="K29:L29"/>
    <mergeCell ref="A26:B26"/>
    <mergeCell ref="C26:F26"/>
    <mergeCell ref="K26:L26"/>
    <mergeCell ref="A27:B27"/>
    <mergeCell ref="C27:F27"/>
    <mergeCell ref="K27:L27"/>
    <mergeCell ref="A24:B24"/>
    <mergeCell ref="C24:F24"/>
    <mergeCell ref="K24:L24"/>
    <mergeCell ref="A25:B25"/>
    <mergeCell ref="C25:F25"/>
    <mergeCell ref="K25:L25"/>
    <mergeCell ref="A20:B20"/>
    <mergeCell ref="C20:F20"/>
    <mergeCell ref="K20:L20"/>
    <mergeCell ref="A22:L22"/>
    <mergeCell ref="A23:B23"/>
    <mergeCell ref="C23:F23"/>
    <mergeCell ref="K23:L23"/>
    <mergeCell ref="A18:B18"/>
    <mergeCell ref="C18:F18"/>
    <mergeCell ref="K18:L18"/>
    <mergeCell ref="A19:B19"/>
    <mergeCell ref="C19:F19"/>
    <mergeCell ref="K19:L19"/>
    <mergeCell ref="A16:B16"/>
    <mergeCell ref="C16:F16"/>
    <mergeCell ref="K16:L16"/>
    <mergeCell ref="A17:B17"/>
    <mergeCell ref="C17:F17"/>
    <mergeCell ref="K17:L17"/>
    <mergeCell ref="A12:C12"/>
    <mergeCell ref="D12:F12"/>
    <mergeCell ref="G12:I12"/>
    <mergeCell ref="J12:L12"/>
    <mergeCell ref="A14:L14"/>
    <mergeCell ref="A15:B15"/>
    <mergeCell ref="C15:F15"/>
    <mergeCell ref="K15:L15"/>
    <mergeCell ref="A10:C10"/>
    <mergeCell ref="D10:F10"/>
    <mergeCell ref="G10:I10"/>
    <mergeCell ref="J10:L10"/>
    <mergeCell ref="A11:C11"/>
    <mergeCell ref="D11:F11"/>
    <mergeCell ref="G11:I11"/>
    <mergeCell ref="J11:L11"/>
    <mergeCell ref="A7:C7"/>
    <mergeCell ref="D7:F7"/>
    <mergeCell ref="G7:I7"/>
    <mergeCell ref="J7:L7"/>
    <mergeCell ref="A8:C8"/>
    <mergeCell ref="D8:F8"/>
    <mergeCell ref="G8:I8"/>
    <mergeCell ref="J8:L8"/>
    <mergeCell ref="A1:L1"/>
    <mergeCell ref="A2:L2"/>
    <mergeCell ref="A3:L3"/>
    <mergeCell ref="A5:L5"/>
    <mergeCell ref="A6:C6"/>
    <mergeCell ref="D6:F6"/>
    <mergeCell ref="G6:I6"/>
    <mergeCell ref="J6:L6"/>
  </mergeCells>
  <conditionalFormatting sqref="A7">
    <cfRule type="cellIs" dxfId="97" priority="1" operator="lessThan">
      <formula>0.7</formula>
    </cfRule>
  </conditionalFormatting>
  <conditionalFormatting sqref="A7">
    <cfRule type="cellIs" dxfId="96" priority="2" operator="between">
      <formula>0.7</formula>
      <formula>0.85</formula>
    </cfRule>
  </conditionalFormatting>
  <conditionalFormatting sqref="A7">
    <cfRule type="cellIs" dxfId="95" priority="3" operator="greaterThanOrEqual">
      <formula>0.85</formula>
    </cfRule>
  </conditionalFormatting>
  <conditionalFormatting sqref="D7">
    <cfRule type="cellIs" dxfId="94" priority="4" operator="lessThan">
      <formula>0.7</formula>
    </cfRule>
  </conditionalFormatting>
  <conditionalFormatting sqref="D7">
    <cfRule type="cellIs" dxfId="93" priority="5" operator="between">
      <formula>0.7</formula>
      <formula>0.85</formula>
    </cfRule>
  </conditionalFormatting>
  <conditionalFormatting sqref="D7">
    <cfRule type="cellIs" dxfId="92" priority="6" operator="greaterThanOrEqual">
      <formula>0.85</formula>
    </cfRule>
  </conditionalFormatting>
  <conditionalFormatting sqref="J7">
    <cfRule type="cellIs" dxfId="91" priority="7" operator="equal">
      <formula>0</formula>
    </cfRule>
  </conditionalFormatting>
  <conditionalFormatting sqref="J7">
    <cfRule type="cellIs" dxfId="90" priority="8" operator="equal">
      <formula>1</formula>
    </cfRule>
  </conditionalFormatting>
  <conditionalFormatting sqref="J7">
    <cfRule type="cellIs" dxfId="89" priority="9" operator="greaterThan">
      <formula>1</formula>
    </cfRule>
  </conditionalFormatting>
  <conditionalFormatting sqref="A11">
    <cfRule type="cellIs" dxfId="88" priority="10" operator="equal">
      <formula>0</formula>
    </cfRule>
  </conditionalFormatting>
  <conditionalFormatting sqref="A11">
    <cfRule type="cellIs" dxfId="87" priority="11" operator="between">
      <formula>1</formula>
      <formula>2</formula>
    </cfRule>
  </conditionalFormatting>
  <conditionalFormatting sqref="A11">
    <cfRule type="cellIs" dxfId="86" priority="12" operator="greaterThan">
      <formula>2</formula>
    </cfRule>
  </conditionalFormatting>
  <conditionalFormatting sqref="D11">
    <cfRule type="cellIs" dxfId="85" priority="13" operator="equal">
      <formula>0</formula>
    </cfRule>
  </conditionalFormatting>
  <conditionalFormatting sqref="D11">
    <cfRule type="cellIs" dxfId="84" priority="14" operator="between">
      <formula>1</formula>
      <formula>2</formula>
    </cfRule>
  </conditionalFormatting>
  <conditionalFormatting sqref="D11">
    <cfRule type="cellIs" dxfId="83" priority="15" operator="greaterThan">
      <formula>2</formula>
    </cfRule>
  </conditionalFormatting>
  <conditionalFormatting sqref="G11">
    <cfRule type="cellIs" dxfId="82" priority="16" operator="equal">
      <formula>0</formula>
    </cfRule>
  </conditionalFormatting>
  <conditionalFormatting sqref="G11">
    <cfRule type="cellIs" dxfId="81" priority="17" operator="between">
      <formula>1</formula>
      <formula>2</formula>
    </cfRule>
  </conditionalFormatting>
  <conditionalFormatting sqref="G11">
    <cfRule type="cellIs" dxfId="80" priority="18" operator="greaterThan">
      <formula>2</formula>
    </cfRule>
  </conditionalFormatting>
  <conditionalFormatting sqref="J11">
    <cfRule type="cellIs" dxfId="79" priority="19" operator="greaterThanOrEqual">
      <formula>1</formula>
    </cfRule>
  </conditionalFormatting>
  <conditionalFormatting sqref="J11">
    <cfRule type="cellIs" dxfId="78" priority="20" operator="between">
      <formula>0.8</formula>
      <formula>0.9999</formula>
    </cfRule>
  </conditionalFormatting>
  <conditionalFormatting sqref="J11">
    <cfRule type="cellIs" dxfId="77" priority="21" operator="lessThan">
      <formula>0.8</formula>
    </cfRule>
  </conditionalFormatting>
  <conditionalFormatting sqref="G16:G20">
    <cfRule type="cellIs" dxfId="76" priority="22" operator="greaterThanOrEqual">
      <formula>15</formula>
    </cfRule>
  </conditionalFormatting>
  <conditionalFormatting sqref="G16:G20">
    <cfRule type="cellIs" dxfId="75" priority="23" operator="between">
      <formula>10</formula>
      <formula>14</formula>
    </cfRule>
  </conditionalFormatting>
  <conditionalFormatting sqref="G16:G20">
    <cfRule type="cellIs" dxfId="74" priority="24" operator="lessThan">
      <formula>10</formula>
    </cfRule>
  </conditionalFormatting>
  <conditionalFormatting sqref="G24:G32">
    <cfRule type="cellIs" dxfId="73" priority="25" operator="greaterThanOrEqual">
      <formula>4</formula>
    </cfRule>
  </conditionalFormatting>
  <conditionalFormatting sqref="G24:G32">
    <cfRule type="cellIs" dxfId="72" priority="26" operator="equal">
      <formula>3</formula>
    </cfRule>
  </conditionalFormatting>
  <conditionalFormatting sqref="G24:G32">
    <cfRule type="cellIs" dxfId="71" priority="27" operator="lessThanOrEqual">
      <formula>2</formula>
    </cfRule>
  </conditionalFormatting>
  <conditionalFormatting sqref="J24:J32">
    <cfRule type="cellIs" dxfId="70" priority="28" operator="equal">
      <formula>0</formula>
    </cfRule>
  </conditionalFormatting>
  <conditionalFormatting sqref="J24:J32">
    <cfRule type="cellIs" dxfId="69" priority="29" operator="equal">
      <formula>1</formula>
    </cfRule>
  </conditionalFormatting>
  <conditionalFormatting sqref="J24:J32">
    <cfRule type="cellIs" dxfId="68" priority="30" operator="greaterThanOrEqual">
      <formula>2</formula>
    </cfRule>
  </conditionalFormatting>
  <conditionalFormatting sqref="J37:J45">
    <cfRule type="cellIs" dxfId="67" priority="31" operator="equal">
      <formula>"Green"</formula>
    </cfRule>
  </conditionalFormatting>
  <conditionalFormatting sqref="J37:J45">
    <cfRule type="cellIs" dxfId="66" priority="32" operator="equal">
      <formula>"Amber"</formula>
    </cfRule>
  </conditionalFormatting>
  <conditionalFormatting sqref="J37:J45">
    <cfRule type="cellIs" dxfId="65" priority="33" operator="equal">
      <formula>"Red"</formula>
    </cfRule>
  </conditionalFormatting>
  <conditionalFormatting sqref="I54:I59">
    <cfRule type="cellIs" dxfId="64" priority="34" operator="equal">
      <formula>"Amber"</formula>
    </cfRule>
  </conditionalFormatting>
  <conditionalFormatting sqref="I54:I59">
    <cfRule type="cellIs" dxfId="63" priority="35" operator="equal">
      <formula>"Red"</formula>
    </cfRule>
  </conditionalFormatting>
  <conditionalFormatting sqref="G72:G83">
    <cfRule type="cellIs" dxfId="62" priority="36" operator="equal">
      <formula>"On Track"</formula>
    </cfRule>
  </conditionalFormatting>
  <conditionalFormatting sqref="G72:G83">
    <cfRule type="cellIs" dxfId="61" priority="37" operator="equal">
      <formula>"In Progress"</formula>
    </cfRule>
  </conditionalFormatting>
  <conditionalFormatting sqref="G72:G83">
    <cfRule type="cellIs" dxfId="60" priority="38" operator="equal">
      <formula>"Delayed"</formula>
    </cfRule>
  </conditionalFormatting>
  <conditionalFormatting sqref="G72:G83">
    <cfRule type="cellIs" dxfId="59" priority="39" operator="equal">
      <formula>"Not Started"</formula>
    </cfRule>
  </conditionalFormatting>
  <conditionalFormatting sqref="G91">
    <cfRule type="cellIs" dxfId="58" priority="40" operator="equal">
      <formula>0</formula>
    </cfRule>
  </conditionalFormatting>
  <conditionalFormatting sqref="G91">
    <cfRule type="cellIs" dxfId="57" priority="41" operator="between">
      <formula>1</formula>
      <formula>3</formula>
    </cfRule>
  </conditionalFormatting>
  <conditionalFormatting sqref="G91">
    <cfRule type="cellIs" dxfId="56" priority="42" operator="greaterThan">
      <formula>3</formula>
    </cfRule>
  </conditionalFormatting>
  <pageMargins left="0.7" right="0.7" top="0.75" bottom="0.75" header="0.3" footer="0.3"/>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601C8-9D38-5698-5D4C-A6152B41BBFD}">
  <dimension ref="A1:H49"/>
  <sheetViews>
    <sheetView zoomScaleNormal="100" workbookViewId="0">
      <selection sqref="A1:H1"/>
    </sheetView>
  </sheetViews>
  <sheetFormatPr defaultColWidth="8.85546875" defaultRowHeight="15" customHeight="1"/>
  <cols>
    <col min="1" max="1" width="14.140625" bestFit="1" customWidth="1"/>
    <col min="2" max="2" width="26.42578125" bestFit="1" customWidth="1"/>
    <col min="3" max="3" width="118.28515625" bestFit="1" customWidth="1"/>
    <col min="4" max="4" width="86.140625" bestFit="1" customWidth="1"/>
    <col min="5" max="5" width="54.5703125" bestFit="1" customWidth="1"/>
    <col min="6" max="6" width="40.42578125" bestFit="1" customWidth="1"/>
    <col min="7" max="7" width="34" bestFit="1" customWidth="1"/>
    <col min="8" max="8" width="24.42578125" bestFit="1" customWidth="1"/>
  </cols>
  <sheetData>
    <row r="1" spans="1:8" ht="21">
      <c r="A1" s="190" t="s">
        <v>0</v>
      </c>
      <c r="B1" s="191"/>
      <c r="C1" s="191"/>
      <c r="D1" s="191"/>
      <c r="E1" s="191"/>
      <c r="F1" s="191"/>
      <c r="G1" s="191"/>
      <c r="H1" s="191"/>
    </row>
    <row r="2" spans="1:8">
      <c r="A2" s="192" t="s">
        <v>1</v>
      </c>
      <c r="B2" s="191"/>
      <c r="C2" s="191"/>
      <c r="D2" s="191"/>
      <c r="E2" s="191"/>
      <c r="F2" s="191"/>
      <c r="G2" s="191"/>
      <c r="H2" s="191"/>
    </row>
    <row r="3" spans="1:8">
      <c r="A3" s="1" t="s">
        <v>2</v>
      </c>
      <c r="B3" s="1" t="s">
        <v>3</v>
      </c>
      <c r="C3" s="1" t="s">
        <v>4</v>
      </c>
      <c r="D3" s="1" t="s">
        <v>5</v>
      </c>
      <c r="E3" s="1" t="s">
        <v>6</v>
      </c>
      <c r="F3" s="1" t="s">
        <v>7</v>
      </c>
      <c r="G3" s="1" t="s">
        <v>8</v>
      </c>
      <c r="H3" s="1" t="s">
        <v>9</v>
      </c>
    </row>
    <row r="4" spans="1:8"/>
    <row r="5" spans="1:8" ht="17.25">
      <c r="B5" s="193" t="s">
        <v>10</v>
      </c>
      <c r="C5" s="191"/>
      <c r="D5" s="191"/>
      <c r="E5" s="191"/>
      <c r="F5" s="191"/>
      <c r="G5" s="191"/>
      <c r="H5" s="191"/>
    </row>
    <row r="6" spans="1:8">
      <c r="B6" s="2" t="s">
        <v>11</v>
      </c>
      <c r="C6" s="2" t="s">
        <v>12</v>
      </c>
      <c r="D6" s="2" t="s">
        <v>13</v>
      </c>
      <c r="E6" s="2" t="s">
        <v>14</v>
      </c>
      <c r="F6" s="2" t="s">
        <v>15</v>
      </c>
      <c r="G6" s="2" t="s">
        <v>16</v>
      </c>
      <c r="H6" s="2" t="s">
        <v>17</v>
      </c>
    </row>
    <row r="7" spans="1:8">
      <c r="B7" s="3" t="s">
        <v>18</v>
      </c>
      <c r="C7" s="3" t="s">
        <v>19</v>
      </c>
      <c r="D7" s="3" t="s">
        <v>20</v>
      </c>
      <c r="E7" s="3" t="s">
        <v>21</v>
      </c>
      <c r="F7" s="3" t="s">
        <v>22</v>
      </c>
      <c r="G7" s="3" t="s">
        <v>23</v>
      </c>
      <c r="H7" s="3" t="s">
        <v>24</v>
      </c>
    </row>
    <row r="8" spans="1:8">
      <c r="B8" s="4" t="s">
        <v>25</v>
      </c>
      <c r="C8" s="4" t="s">
        <v>26</v>
      </c>
      <c r="D8" s="4" t="s">
        <v>27</v>
      </c>
      <c r="E8" s="4" t="s">
        <v>28</v>
      </c>
      <c r="F8" s="4" t="s">
        <v>29</v>
      </c>
      <c r="G8" s="4" t="s">
        <v>30</v>
      </c>
      <c r="H8" s="4" t="s">
        <v>31</v>
      </c>
    </row>
    <row r="9" spans="1:8">
      <c r="B9" s="3" t="s">
        <v>32</v>
      </c>
      <c r="C9" s="3" t="s">
        <v>33</v>
      </c>
      <c r="D9" s="3" t="s">
        <v>34</v>
      </c>
      <c r="E9" s="3" t="s">
        <v>35</v>
      </c>
      <c r="F9" s="3" t="s">
        <v>36</v>
      </c>
      <c r="G9" s="3" t="s">
        <v>23</v>
      </c>
      <c r="H9" s="3" t="s">
        <v>37</v>
      </c>
    </row>
    <row r="10" spans="1:8">
      <c r="B10" s="4" t="s">
        <v>38</v>
      </c>
      <c r="C10" s="4" t="s">
        <v>39</v>
      </c>
      <c r="D10" s="4" t="s">
        <v>40</v>
      </c>
      <c r="E10" s="4" t="s">
        <v>41</v>
      </c>
      <c r="F10" s="4" t="s">
        <v>36</v>
      </c>
      <c r="G10" s="4" t="s">
        <v>42</v>
      </c>
      <c r="H10" s="4" t="s">
        <v>37</v>
      </c>
    </row>
    <row r="11" spans="1:8">
      <c r="B11" s="3" t="s">
        <v>43</v>
      </c>
      <c r="C11" s="3" t="s">
        <v>44</v>
      </c>
      <c r="D11" s="3" t="s">
        <v>45</v>
      </c>
      <c r="E11" s="3" t="s">
        <v>46</v>
      </c>
      <c r="F11" s="3" t="s">
        <v>22</v>
      </c>
      <c r="G11" s="3" t="s">
        <v>23</v>
      </c>
      <c r="H11" s="3" t="s">
        <v>24</v>
      </c>
    </row>
    <row r="12" spans="1:8">
      <c r="B12" s="4" t="s">
        <v>47</v>
      </c>
      <c r="C12" s="4" t="s">
        <v>48</v>
      </c>
      <c r="D12" s="4" t="s">
        <v>49</v>
      </c>
      <c r="E12" s="4" t="s">
        <v>50</v>
      </c>
      <c r="F12" s="4" t="s">
        <v>51</v>
      </c>
      <c r="G12" s="4" t="s">
        <v>42</v>
      </c>
      <c r="H12" s="4" t="s">
        <v>31</v>
      </c>
    </row>
    <row r="13" spans="1:8">
      <c r="B13" s="3" t="s">
        <v>52</v>
      </c>
      <c r="C13" s="3" t="s">
        <v>53</v>
      </c>
      <c r="D13" s="3" t="s">
        <v>54</v>
      </c>
      <c r="E13" s="3" t="s">
        <v>55</v>
      </c>
      <c r="F13" s="3" t="s">
        <v>56</v>
      </c>
      <c r="G13" s="3" t="s">
        <v>57</v>
      </c>
      <c r="H13" s="3" t="s">
        <v>31</v>
      </c>
    </row>
    <row r="14" spans="1:8">
      <c r="B14" s="4" t="s">
        <v>58</v>
      </c>
      <c r="C14" s="4" t="s">
        <v>59</v>
      </c>
      <c r="D14" s="4" t="s">
        <v>60</v>
      </c>
      <c r="E14" s="4" t="s">
        <v>61</v>
      </c>
      <c r="F14" s="4" t="s">
        <v>62</v>
      </c>
      <c r="G14" s="4" t="s">
        <v>42</v>
      </c>
      <c r="H14" s="4" t="s">
        <v>31</v>
      </c>
    </row>
    <row r="15" spans="1:8">
      <c r="B15" s="3" t="s">
        <v>63</v>
      </c>
      <c r="C15" s="3" t="s">
        <v>64</v>
      </c>
      <c r="D15" s="3" t="s">
        <v>65</v>
      </c>
      <c r="E15" s="3" t="s">
        <v>66</v>
      </c>
      <c r="F15" s="3" t="s">
        <v>67</v>
      </c>
      <c r="G15" s="3" t="s">
        <v>23</v>
      </c>
      <c r="H15" s="3" t="s">
        <v>68</v>
      </c>
    </row>
    <row r="16" spans="1:8">
      <c r="B16" s="4" t="s">
        <v>69</v>
      </c>
      <c r="C16" s="4" t="s">
        <v>70</v>
      </c>
      <c r="D16" s="4" t="s">
        <v>71</v>
      </c>
      <c r="E16" s="4" t="s">
        <v>72</v>
      </c>
      <c r="F16" s="4" t="s">
        <v>7</v>
      </c>
      <c r="G16" s="4" t="s">
        <v>42</v>
      </c>
      <c r="H16" s="4" t="s">
        <v>24</v>
      </c>
    </row>
    <row r="17" spans="2:8"/>
    <row r="18" spans="2:8" ht="17.25">
      <c r="B18" s="193" t="s">
        <v>73</v>
      </c>
      <c r="C18" s="191"/>
      <c r="D18" s="191"/>
      <c r="E18" s="191"/>
      <c r="F18" s="191"/>
      <c r="G18" s="191"/>
      <c r="H18" s="191"/>
    </row>
    <row r="19" spans="2:8">
      <c r="B19" s="2" t="s">
        <v>74</v>
      </c>
      <c r="C19" s="2" t="s">
        <v>75</v>
      </c>
      <c r="D19" s="2" t="s">
        <v>76</v>
      </c>
      <c r="E19" s="2" t="s">
        <v>77</v>
      </c>
      <c r="F19" s="2" t="s">
        <v>78</v>
      </c>
      <c r="G19" s="2" t="s">
        <v>79</v>
      </c>
      <c r="H19" s="2" t="s">
        <v>17</v>
      </c>
    </row>
    <row r="20" spans="2:8">
      <c r="B20" s="3" t="s">
        <v>80</v>
      </c>
      <c r="C20" s="5" t="s">
        <v>81</v>
      </c>
      <c r="D20" s="6" t="s">
        <v>82</v>
      </c>
      <c r="E20" s="7" t="s">
        <v>83</v>
      </c>
      <c r="F20" s="3" t="s">
        <v>84</v>
      </c>
      <c r="G20" s="3" t="s">
        <v>22</v>
      </c>
      <c r="H20" s="3" t="s">
        <v>24</v>
      </c>
    </row>
    <row r="21" spans="2:8">
      <c r="B21" s="4" t="s">
        <v>85</v>
      </c>
      <c r="C21" s="5" t="s">
        <v>81</v>
      </c>
      <c r="D21" s="6" t="s">
        <v>82</v>
      </c>
      <c r="E21" s="7" t="s">
        <v>83</v>
      </c>
      <c r="F21" s="4" t="s">
        <v>86</v>
      </c>
      <c r="G21" s="4" t="s">
        <v>29</v>
      </c>
      <c r="H21" s="4" t="s">
        <v>31</v>
      </c>
    </row>
    <row r="22" spans="2:8">
      <c r="B22" s="3" t="s">
        <v>43</v>
      </c>
      <c r="C22" s="5" t="s">
        <v>87</v>
      </c>
      <c r="D22" s="6" t="s">
        <v>88</v>
      </c>
      <c r="E22" s="7" t="s">
        <v>89</v>
      </c>
      <c r="F22" s="3" t="s">
        <v>90</v>
      </c>
      <c r="G22" s="3" t="s">
        <v>22</v>
      </c>
      <c r="H22" s="3" t="s">
        <v>24</v>
      </c>
    </row>
    <row r="23" spans="2:8">
      <c r="B23" s="4" t="s">
        <v>38</v>
      </c>
      <c r="C23" s="5" t="s">
        <v>87</v>
      </c>
      <c r="D23" s="6">
        <v>1</v>
      </c>
      <c r="E23" s="7" t="s">
        <v>91</v>
      </c>
      <c r="F23" s="4" t="s">
        <v>92</v>
      </c>
      <c r="G23" s="4" t="s">
        <v>36</v>
      </c>
      <c r="H23" s="4" t="s">
        <v>37</v>
      </c>
    </row>
    <row r="24" spans="2:8">
      <c r="B24" s="3" t="s">
        <v>47</v>
      </c>
      <c r="C24" s="5" t="s">
        <v>87</v>
      </c>
      <c r="D24" s="6" t="s">
        <v>93</v>
      </c>
      <c r="E24" s="7" t="s">
        <v>94</v>
      </c>
      <c r="F24" s="3" t="s">
        <v>95</v>
      </c>
      <c r="G24" s="3" t="s">
        <v>51</v>
      </c>
      <c r="H24" s="3" t="s">
        <v>31</v>
      </c>
    </row>
    <row r="25" spans="2:8">
      <c r="B25" s="4" t="s">
        <v>96</v>
      </c>
      <c r="C25" s="5" t="s">
        <v>87</v>
      </c>
      <c r="D25" s="6" t="s">
        <v>93</v>
      </c>
      <c r="E25" s="7" t="s">
        <v>94</v>
      </c>
      <c r="F25" s="4" t="s">
        <v>97</v>
      </c>
      <c r="G25" s="4" t="s">
        <v>56</v>
      </c>
      <c r="H25" s="4" t="s">
        <v>31</v>
      </c>
    </row>
    <row r="26" spans="2:8">
      <c r="B26" s="3" t="s">
        <v>58</v>
      </c>
      <c r="C26" s="5" t="s">
        <v>87</v>
      </c>
      <c r="D26" s="6" t="s">
        <v>93</v>
      </c>
      <c r="E26" s="7" t="s">
        <v>94</v>
      </c>
      <c r="F26" s="3" t="s">
        <v>98</v>
      </c>
      <c r="G26" s="3" t="s">
        <v>62</v>
      </c>
      <c r="H26" s="3" t="s">
        <v>31</v>
      </c>
    </row>
    <row r="27" spans="2:8">
      <c r="B27" s="4" t="s">
        <v>99</v>
      </c>
      <c r="C27" s="5" t="s">
        <v>100</v>
      </c>
      <c r="D27" s="6" t="s">
        <v>101</v>
      </c>
      <c r="E27" s="7" t="s">
        <v>102</v>
      </c>
      <c r="F27" s="4" t="s">
        <v>103</v>
      </c>
      <c r="G27" s="4" t="s">
        <v>29</v>
      </c>
      <c r="H27" s="4" t="s">
        <v>31</v>
      </c>
    </row>
    <row r="28" spans="2:8">
      <c r="B28" s="3" t="s">
        <v>104</v>
      </c>
      <c r="C28" s="5" t="s">
        <v>105</v>
      </c>
      <c r="D28" s="6" t="s">
        <v>106</v>
      </c>
      <c r="E28" s="7" t="s">
        <v>107</v>
      </c>
      <c r="F28" s="3" t="s">
        <v>108</v>
      </c>
      <c r="G28" s="3" t="s">
        <v>109</v>
      </c>
      <c r="H28" s="3" t="s">
        <v>24</v>
      </c>
    </row>
    <row r="29" spans="2:8">
      <c r="B29" s="4" t="s">
        <v>110</v>
      </c>
      <c r="C29" s="5" t="s">
        <v>111</v>
      </c>
      <c r="D29" s="6" t="s">
        <v>112</v>
      </c>
      <c r="E29" s="7" t="s">
        <v>113</v>
      </c>
      <c r="F29" s="4" t="s">
        <v>114</v>
      </c>
      <c r="G29" s="4" t="s">
        <v>62</v>
      </c>
      <c r="H29" s="4" t="s">
        <v>31</v>
      </c>
    </row>
    <row r="30" spans="2:8"/>
    <row r="31" spans="2:8" ht="17.25">
      <c r="B31" s="193" t="s">
        <v>115</v>
      </c>
      <c r="C31" s="191"/>
      <c r="D31" s="191"/>
      <c r="E31" s="191"/>
      <c r="F31" s="191"/>
      <c r="G31" s="191"/>
      <c r="H31" s="191"/>
    </row>
    <row r="32" spans="2:8">
      <c r="B32" s="2" t="s">
        <v>116</v>
      </c>
      <c r="C32" s="2" t="s">
        <v>117</v>
      </c>
      <c r="D32" s="2" t="s">
        <v>118</v>
      </c>
      <c r="E32" s="2" t="s">
        <v>119</v>
      </c>
      <c r="F32" s="2" t="s">
        <v>17</v>
      </c>
      <c r="G32" s="2" t="s">
        <v>120</v>
      </c>
      <c r="H32" s="2" t="s">
        <v>121</v>
      </c>
    </row>
    <row r="33" spans="2:8">
      <c r="B33" s="3" t="s">
        <v>122</v>
      </c>
      <c r="C33" s="3" t="s">
        <v>123</v>
      </c>
      <c r="D33" s="3" t="s">
        <v>124</v>
      </c>
      <c r="E33" s="3" t="s">
        <v>125</v>
      </c>
      <c r="F33" s="3" t="s">
        <v>24</v>
      </c>
      <c r="G33" s="8" t="s">
        <v>126</v>
      </c>
      <c r="H33" s="3" t="s">
        <v>127</v>
      </c>
    </row>
    <row r="34" spans="2:8">
      <c r="B34" s="4" t="s">
        <v>128</v>
      </c>
      <c r="C34" s="4" t="s">
        <v>129</v>
      </c>
      <c r="D34" s="4" t="s">
        <v>130</v>
      </c>
      <c r="E34" s="4" t="s">
        <v>131</v>
      </c>
      <c r="F34" s="4" t="s">
        <v>24</v>
      </c>
      <c r="G34" s="9" t="s">
        <v>132</v>
      </c>
      <c r="H34" s="4" t="s">
        <v>109</v>
      </c>
    </row>
    <row r="35" spans="2:8">
      <c r="B35" s="3" t="s">
        <v>133</v>
      </c>
      <c r="C35" s="3" t="s">
        <v>134</v>
      </c>
      <c r="D35" s="3" t="s">
        <v>135</v>
      </c>
      <c r="E35" s="3" t="s">
        <v>136</v>
      </c>
      <c r="F35" s="3" t="s">
        <v>24</v>
      </c>
      <c r="G35" s="8" t="s">
        <v>126</v>
      </c>
      <c r="H35" s="3" t="s">
        <v>137</v>
      </c>
    </row>
    <row r="36" spans="2:8">
      <c r="B36" s="4" t="s">
        <v>138</v>
      </c>
      <c r="C36" s="4" t="s">
        <v>139</v>
      </c>
      <c r="D36" s="4" t="s">
        <v>140</v>
      </c>
      <c r="E36" s="4" t="s">
        <v>141</v>
      </c>
      <c r="F36" s="4" t="s">
        <v>37</v>
      </c>
      <c r="G36" s="9" t="s">
        <v>132</v>
      </c>
      <c r="H36" s="4" t="s">
        <v>36</v>
      </c>
    </row>
    <row r="37" spans="2:8">
      <c r="B37" s="3" t="s">
        <v>142</v>
      </c>
      <c r="C37" s="3" t="s">
        <v>143</v>
      </c>
      <c r="D37" s="3" t="s">
        <v>144</v>
      </c>
      <c r="E37" s="3" t="s">
        <v>145</v>
      </c>
      <c r="F37" s="3" t="s">
        <v>24</v>
      </c>
      <c r="G37" s="8" t="s">
        <v>146</v>
      </c>
      <c r="H37" s="3" t="s">
        <v>22</v>
      </c>
    </row>
    <row r="38" spans="2:8">
      <c r="B38" s="4" t="s">
        <v>147</v>
      </c>
      <c r="C38" s="4" t="s">
        <v>148</v>
      </c>
      <c r="D38" s="4" t="s">
        <v>149</v>
      </c>
      <c r="E38" s="4" t="s">
        <v>125</v>
      </c>
      <c r="F38" s="4" t="s">
        <v>150</v>
      </c>
      <c r="G38" s="9" t="s">
        <v>126</v>
      </c>
      <c r="H38" s="4" t="s">
        <v>151</v>
      </c>
    </row>
    <row r="39" spans="2:8"/>
    <row r="40" spans="2:8" ht="17.25">
      <c r="B40" s="193" t="s">
        <v>152</v>
      </c>
      <c r="C40" s="191"/>
      <c r="D40" s="191"/>
      <c r="E40" s="191"/>
      <c r="F40" s="191"/>
      <c r="G40" s="191"/>
      <c r="H40" s="191"/>
    </row>
    <row r="41" spans="2:8">
      <c r="B41" s="2" t="s">
        <v>153</v>
      </c>
      <c r="C41" s="2" t="s">
        <v>154</v>
      </c>
      <c r="D41" s="2" t="s">
        <v>155</v>
      </c>
      <c r="E41" s="2" t="s">
        <v>156</v>
      </c>
      <c r="F41" s="194" t="s">
        <v>17</v>
      </c>
      <c r="G41" s="194"/>
      <c r="H41" s="194"/>
    </row>
    <row r="42" spans="2:8">
      <c r="B42" s="3" t="s">
        <v>157</v>
      </c>
      <c r="C42" s="3" t="s">
        <v>158</v>
      </c>
      <c r="D42" s="3" t="s">
        <v>159</v>
      </c>
      <c r="E42" s="3" t="s">
        <v>160</v>
      </c>
      <c r="F42" s="195" t="s">
        <v>24</v>
      </c>
      <c r="G42" s="195"/>
      <c r="H42" s="195"/>
    </row>
    <row r="43" spans="2:8">
      <c r="B43" s="4" t="s">
        <v>161</v>
      </c>
      <c r="C43" s="4" t="s">
        <v>162</v>
      </c>
      <c r="D43" s="4" t="s">
        <v>163</v>
      </c>
      <c r="E43" s="4" t="s">
        <v>164</v>
      </c>
      <c r="F43" s="196" t="s">
        <v>150</v>
      </c>
      <c r="G43" s="196"/>
      <c r="H43" s="196"/>
    </row>
    <row r="44" spans="2:8">
      <c r="B44" s="3" t="s">
        <v>165</v>
      </c>
      <c r="C44" s="3" t="s">
        <v>166</v>
      </c>
      <c r="D44" s="3" t="s">
        <v>167</v>
      </c>
      <c r="E44" s="3" t="s">
        <v>168</v>
      </c>
      <c r="F44" s="195" t="s">
        <v>24</v>
      </c>
      <c r="G44" s="195"/>
      <c r="H44" s="195"/>
    </row>
    <row r="45" spans="2:8">
      <c r="B45" s="4" t="s">
        <v>169</v>
      </c>
      <c r="C45" s="4" t="s">
        <v>170</v>
      </c>
      <c r="D45" s="4" t="s">
        <v>171</v>
      </c>
      <c r="E45" s="4" t="s">
        <v>172</v>
      </c>
      <c r="F45" s="196" t="s">
        <v>173</v>
      </c>
      <c r="G45" s="196"/>
      <c r="H45" s="196"/>
    </row>
    <row r="46" spans="2:8">
      <c r="B46" s="3" t="s">
        <v>36</v>
      </c>
      <c r="C46" s="3" t="s">
        <v>174</v>
      </c>
      <c r="D46" s="3" t="s">
        <v>175</v>
      </c>
      <c r="E46" s="3" t="s">
        <v>176</v>
      </c>
      <c r="F46" s="195" t="s">
        <v>37</v>
      </c>
      <c r="G46" s="195"/>
      <c r="H46" s="195"/>
    </row>
    <row r="47" spans="2:8">
      <c r="B47" s="4" t="s">
        <v>177</v>
      </c>
      <c r="C47" s="4" t="s">
        <v>178</v>
      </c>
      <c r="D47" s="4" t="s">
        <v>179</v>
      </c>
      <c r="E47" s="4" t="s">
        <v>180</v>
      </c>
      <c r="F47" s="196" t="s">
        <v>181</v>
      </c>
      <c r="G47" s="196"/>
      <c r="H47" s="196"/>
    </row>
    <row r="48" spans="2:8"/>
    <row r="49" spans="1:8">
      <c r="A49" s="197" t="s">
        <v>182</v>
      </c>
      <c r="B49" s="191"/>
      <c r="C49" s="191"/>
      <c r="D49" s="191"/>
      <c r="E49" s="191"/>
      <c r="F49" s="191"/>
      <c r="G49" s="191"/>
      <c r="H49" s="191"/>
    </row>
  </sheetData>
  <mergeCells count="14">
    <mergeCell ref="F45:H45"/>
    <mergeCell ref="F46:H46"/>
    <mergeCell ref="F47:H47"/>
    <mergeCell ref="A49:H49"/>
    <mergeCell ref="B40:H40"/>
    <mergeCell ref="F41:H41"/>
    <mergeCell ref="F42:H42"/>
    <mergeCell ref="F43:H43"/>
    <mergeCell ref="F44:H44"/>
    <mergeCell ref="A1:H1"/>
    <mergeCell ref="A2:H2"/>
    <mergeCell ref="B5:H5"/>
    <mergeCell ref="B18:H18"/>
    <mergeCell ref="B31:H31"/>
  </mergeCells>
  <pageMargins left="0.7" right="0.7" top="0.75" bottom="0.75" header="0.3" footer="0.3"/>
  <pageSetup orientation="portrait" r:id="rId1"/>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A068-F728-63F8-33F8-61B3AAD7AFC8}">
  <sheetPr>
    <tabColor rgb="FFC00000"/>
  </sheetPr>
  <dimension ref="A1:N57"/>
  <sheetViews>
    <sheetView workbookViewId="0">
      <selection sqref="A1:N1"/>
    </sheetView>
  </sheetViews>
  <sheetFormatPr defaultColWidth="8.85546875" defaultRowHeight="15" customHeight="1"/>
  <cols>
    <col min="1" max="1" width="7.140625" bestFit="1" customWidth="1"/>
    <col min="2" max="2" width="17.140625" customWidth="1"/>
    <col min="3" max="3" width="21.5703125" bestFit="1" customWidth="1"/>
    <col min="4" max="5" width="6" bestFit="1" customWidth="1"/>
    <col min="6" max="6" width="6.5703125" bestFit="1" customWidth="1"/>
    <col min="7" max="7" width="8.140625" bestFit="1" customWidth="1"/>
    <col min="8" max="8" width="9" bestFit="1" customWidth="1"/>
    <col min="9" max="9" width="11.42578125" bestFit="1" customWidth="1"/>
    <col min="10" max="10" width="22.42578125" customWidth="1"/>
    <col min="11" max="11" width="7" bestFit="1" customWidth="1"/>
    <col min="12" max="12" width="15" bestFit="1" customWidth="1"/>
    <col min="13" max="13" width="7.5703125" bestFit="1" customWidth="1"/>
    <col min="14" max="14" width="37.85546875" customWidth="1"/>
  </cols>
  <sheetData>
    <row r="1" spans="1:14" ht="38.1" customHeight="1">
      <c r="A1" s="377" t="s">
        <v>3535</v>
      </c>
      <c r="B1" s="377"/>
      <c r="C1" s="377"/>
      <c r="D1" s="377"/>
      <c r="E1" s="377"/>
      <c r="F1" s="377"/>
      <c r="G1" s="377"/>
      <c r="H1" s="377"/>
      <c r="I1" s="377"/>
      <c r="J1" s="377"/>
      <c r="K1" s="377"/>
      <c r="L1" s="377"/>
      <c r="M1" s="377"/>
      <c r="N1" s="377"/>
    </row>
    <row r="2" spans="1:14" ht="36" customHeight="1">
      <c r="A2" s="251" t="s">
        <v>3536</v>
      </c>
      <c r="B2" s="251"/>
      <c r="C2" s="251"/>
      <c r="D2" s="251"/>
      <c r="E2" s="251"/>
      <c r="F2" s="251"/>
      <c r="G2" s="251"/>
      <c r="H2" s="251"/>
      <c r="I2" s="251"/>
      <c r="J2" s="251"/>
      <c r="K2" s="251"/>
      <c r="L2" s="251"/>
      <c r="M2" s="251"/>
      <c r="N2" s="251"/>
    </row>
    <row r="3" spans="1:14" ht="21.95" customHeight="1">
      <c r="A3" s="252" t="s">
        <v>3537</v>
      </c>
      <c r="B3" s="252"/>
      <c r="C3" s="252"/>
      <c r="D3" s="252"/>
      <c r="E3" s="252"/>
      <c r="F3" s="252"/>
      <c r="G3" s="252"/>
      <c r="H3" s="252"/>
      <c r="I3" s="252"/>
      <c r="J3" s="252"/>
      <c r="K3" s="252"/>
      <c r="L3" s="252"/>
      <c r="M3" s="252"/>
      <c r="N3" s="252"/>
    </row>
    <row r="4" spans="1:14" ht="8.1" customHeight="1"/>
    <row r="5" spans="1:14" ht="15" customHeight="1">
      <c r="A5" s="380" t="s">
        <v>3538</v>
      </c>
      <c r="B5" s="378"/>
      <c r="C5" s="378"/>
      <c r="D5" s="378"/>
      <c r="E5" s="378"/>
      <c r="F5" s="378"/>
      <c r="G5" s="378"/>
      <c r="H5" s="378"/>
      <c r="I5" s="378"/>
      <c r="J5" s="378"/>
      <c r="K5" s="378"/>
      <c r="L5" s="378"/>
      <c r="M5" s="378"/>
      <c r="N5" s="382"/>
    </row>
    <row r="6" spans="1:14" ht="15" customHeight="1">
      <c r="A6" s="381"/>
      <c r="B6" s="379"/>
      <c r="C6" s="379"/>
      <c r="D6" s="379"/>
      <c r="E6" s="379"/>
      <c r="F6" s="379"/>
      <c r="G6" s="379"/>
      <c r="H6" s="379"/>
      <c r="I6" s="379"/>
      <c r="J6" s="379"/>
      <c r="K6" s="379"/>
      <c r="L6" s="379"/>
      <c r="M6" s="379"/>
      <c r="N6" s="383"/>
    </row>
    <row r="7" spans="1:14" ht="9.9499999999999993" customHeight="1"/>
    <row r="8" spans="1:14" ht="27.95" customHeight="1">
      <c r="A8" s="384" t="s">
        <v>3539</v>
      </c>
      <c r="B8" s="384"/>
      <c r="C8" s="384"/>
      <c r="D8" s="384"/>
      <c r="E8" s="384"/>
      <c r="F8" s="384"/>
      <c r="G8" s="384"/>
      <c r="H8" s="384"/>
      <c r="I8" s="384"/>
      <c r="J8" s="384"/>
      <c r="K8" s="384"/>
      <c r="L8" s="384"/>
      <c r="M8" s="384"/>
      <c r="N8" s="384"/>
    </row>
    <row r="9" spans="1:14" ht="36" customHeight="1">
      <c r="A9" s="386" t="s">
        <v>3540</v>
      </c>
      <c r="B9" s="387" t="s">
        <v>3541</v>
      </c>
      <c r="C9" s="387" t="s">
        <v>3542</v>
      </c>
      <c r="D9" s="387" t="s">
        <v>302</v>
      </c>
      <c r="E9" s="387" t="s">
        <v>76</v>
      </c>
      <c r="F9" s="387" t="s">
        <v>77</v>
      </c>
      <c r="G9" s="387" t="s">
        <v>303</v>
      </c>
      <c r="H9" s="387" t="s">
        <v>277</v>
      </c>
      <c r="I9" s="387" t="s">
        <v>1764</v>
      </c>
      <c r="J9" s="387" t="s">
        <v>3543</v>
      </c>
      <c r="K9" s="387" t="s">
        <v>3544</v>
      </c>
      <c r="L9" s="387" t="s">
        <v>17</v>
      </c>
      <c r="M9" s="387" t="s">
        <v>3545</v>
      </c>
      <c r="N9" s="388" t="s">
        <v>3546</v>
      </c>
    </row>
    <row r="10" spans="1:14" ht="409.5">
      <c r="A10" s="389" t="str">
        <f>'KRI Tracking'!A5</f>
        <v>KRI-001</v>
      </c>
      <c r="B10" s="390" t="str">
        <f>'KRI Tracking'!B5</f>
        <v>Models with material drift in last 30 days</v>
      </c>
      <c r="C10" s="391" t="str">
        <f>'KRI Tracking'!C5</f>
        <v>RSK-001</v>
      </c>
      <c r="D10" s="391">
        <f>'KRI Tracking'!G5</f>
        <v>1</v>
      </c>
      <c r="E10" s="391">
        <f>'KRI Tracking'!E5</f>
        <v>2</v>
      </c>
      <c r="F10" s="391">
        <f>'KRI Tracking'!F5</f>
        <v>4</v>
      </c>
      <c r="G10" s="391">
        <f>'KRI Tracking'!H5</f>
        <v>0</v>
      </c>
      <c r="H10" s="391" t="str">
        <f>'KRI Tracking'!J5</f>
        <v>Green</v>
      </c>
      <c r="I10" s="391" t="str">
        <f>'KRI Tracking'!I5</f>
        <v>Improving</v>
      </c>
      <c r="J10" s="390" t="s">
        <v>3547</v>
      </c>
      <c r="K10" s="392" t="s">
        <v>3548</v>
      </c>
      <c r="L10" s="391" t="str">
        <f>'KRI Tracking'!K5</f>
        <v>Mohammed Iqbal</v>
      </c>
      <c r="M10" s="392" t="str">
        <f>'KRI Tracking'!N5</f>
        <v>BAU</v>
      </c>
      <c r="N10" s="393" t="s">
        <v>3549</v>
      </c>
    </row>
    <row r="11" spans="1:14" ht="409.5">
      <c r="A11" s="394" t="str">
        <f>'KRI Tracking'!A6</f>
        <v>KRI-002</v>
      </c>
      <c r="B11" s="395" t="str">
        <f>'KRI Tracking'!B6</f>
        <v>Tier-1 models without current monitoring coverage</v>
      </c>
      <c r="C11" s="396" t="str">
        <f>'KRI Tracking'!C6</f>
        <v>RSK-002</v>
      </c>
      <c r="D11" s="396">
        <f>'KRI Tracking'!G6</f>
        <v>0</v>
      </c>
      <c r="E11" s="396">
        <f>'KRI Tracking'!E6</f>
        <v>1</v>
      </c>
      <c r="F11" s="396">
        <f>'KRI Tracking'!F6</f>
        <v>2</v>
      </c>
      <c r="G11" s="396">
        <f>'KRI Tracking'!H6</f>
        <v>0</v>
      </c>
      <c r="H11" s="396" t="str">
        <f>'KRI Tracking'!J6</f>
        <v>Green</v>
      </c>
      <c r="I11" s="396" t="str">
        <f>'KRI Tracking'!I6</f>
        <v>Stable</v>
      </c>
      <c r="J11" s="395" t="s">
        <v>3550</v>
      </c>
      <c r="K11" s="397" t="s">
        <v>3551</v>
      </c>
      <c r="L11" s="396" t="str">
        <f>'KRI Tracking'!K6</f>
        <v>Mohammed Iqbal</v>
      </c>
      <c r="M11" s="397" t="str">
        <f>'KRI Tracking'!N6</f>
        <v>BAU</v>
      </c>
      <c r="N11" s="398" t="s">
        <v>3552</v>
      </c>
    </row>
    <row r="12" spans="1:14" ht="409.5">
      <c r="A12" s="389" t="str">
        <f>'KRI Tracking'!A7</f>
        <v>KRI-003</v>
      </c>
      <c r="B12" s="390" t="str">
        <f>'KRI Tracking'!B7</f>
        <v>Pricing fairness review breaches outstanding</v>
      </c>
      <c r="C12" s="391" t="str">
        <f>'KRI Tracking'!C7</f>
        <v>RSK-001</v>
      </c>
      <c r="D12" s="391">
        <f>'KRI Tracking'!G7</f>
        <v>0</v>
      </c>
      <c r="E12" s="391">
        <f>'KRI Tracking'!E7</f>
        <v>1</v>
      </c>
      <c r="F12" s="391">
        <f>'KRI Tracking'!F7</f>
        <v>3</v>
      </c>
      <c r="G12" s="391">
        <f>'KRI Tracking'!H7</f>
        <v>0</v>
      </c>
      <c r="H12" s="391" t="str">
        <f>'KRI Tracking'!J7</f>
        <v>Green</v>
      </c>
      <c r="I12" s="391" t="str">
        <f>'KRI Tracking'!I7</f>
        <v>Stable</v>
      </c>
      <c r="J12" s="390" t="s">
        <v>3553</v>
      </c>
      <c r="K12" s="392" t="s">
        <v>3554</v>
      </c>
      <c r="L12" s="391" t="str">
        <f>'KRI Tracking'!K7</f>
        <v>Helen Carter</v>
      </c>
      <c r="M12" s="392" t="str">
        <f>'KRI Tracking'!N7</f>
        <v>BAU</v>
      </c>
      <c r="N12" s="393" t="s">
        <v>3555</v>
      </c>
    </row>
    <row r="13" spans="1:14" ht="409.5">
      <c r="A13" s="394" t="str">
        <f>'KRI Tracking'!A8</f>
        <v>KRI-004</v>
      </c>
      <c r="B13" s="395" t="str">
        <f>'KRI Tracking'!B8</f>
        <v>Customer-facing AI complaints linked to AI behaviour (rolling 90d)</v>
      </c>
      <c r="C13" s="396" t="str">
        <f>'KRI Tracking'!C8</f>
        <v>RSK-005</v>
      </c>
      <c r="D13" s="396">
        <f>'KRI Tracking'!G8</f>
        <v>3</v>
      </c>
      <c r="E13" s="396">
        <f>'KRI Tracking'!E8</f>
        <v>5</v>
      </c>
      <c r="F13" s="396">
        <f>'KRI Tracking'!F8</f>
        <v>10</v>
      </c>
      <c r="G13" s="396" t="str">
        <f>'KRI Tracking'!H8</f>
        <v>&lt;=2</v>
      </c>
      <c r="H13" s="396" t="str">
        <f>'KRI Tracking'!J8</f>
        <v>Green</v>
      </c>
      <c r="I13" s="396" t="str">
        <f>'KRI Tracking'!I8</f>
        <v>Improving</v>
      </c>
      <c r="J13" s="395" t="s">
        <v>3556</v>
      </c>
      <c r="K13" s="397" t="s">
        <v>3557</v>
      </c>
      <c r="L13" s="396" t="str">
        <f>'KRI Tracking'!K8</f>
        <v>Olivia Bennett</v>
      </c>
      <c r="M13" s="397" t="str">
        <f>'KRI Tracking'!N8</f>
        <v>BAU</v>
      </c>
      <c r="N13" s="398" t="s">
        <v>3558</v>
      </c>
    </row>
    <row r="14" spans="1:14" ht="409.5">
      <c r="A14" s="389" t="str">
        <f>'KRI Tracking'!A9</f>
        <v>KRI-005</v>
      </c>
      <c r="B14" s="390" t="str">
        <f>'KRI Tracking'!B9</f>
        <v>Vulnerable customer cases handled outside specialist team</v>
      </c>
      <c r="C14" s="391" t="str">
        <f>'KRI Tracking'!C9</f>
        <v>RSK-012</v>
      </c>
      <c r="D14" s="391">
        <f>'KRI Tracking'!G9</f>
        <v>1</v>
      </c>
      <c r="E14" s="391">
        <f>'KRI Tracking'!E9</f>
        <v>2</v>
      </c>
      <c r="F14" s="391">
        <f>'KRI Tracking'!F9</f>
        <v>5</v>
      </c>
      <c r="G14" s="391">
        <f>'KRI Tracking'!H9</f>
        <v>0</v>
      </c>
      <c r="H14" s="391" t="str">
        <f>'KRI Tracking'!J9</f>
        <v>Green</v>
      </c>
      <c r="I14" s="391" t="str">
        <f>'KRI Tracking'!I9</f>
        <v>Stable</v>
      </c>
      <c r="J14" s="390" t="s">
        <v>3559</v>
      </c>
      <c r="K14" s="392" t="s">
        <v>3560</v>
      </c>
      <c r="L14" s="391" t="str">
        <f>'KRI Tracking'!K9</f>
        <v>Olivia Bennett</v>
      </c>
      <c r="M14" s="392" t="str">
        <f>'KRI Tracking'!N9</f>
        <v>BAU</v>
      </c>
      <c r="N14" s="393" t="s">
        <v>3561</v>
      </c>
    </row>
    <row r="15" spans="1:14" ht="409.5">
      <c r="A15" s="394" t="str">
        <f>'KRI Tracking'!A10</f>
        <v>KRI-006</v>
      </c>
      <c r="B15" s="395" t="str">
        <f>'KRI Tracking'!B10</f>
        <v>Sanctions/fraud false-negative incidents (rolling 90d)</v>
      </c>
      <c r="C15" s="396" t="str">
        <f>'KRI Tracking'!C10</f>
        <v>RSK-003</v>
      </c>
      <c r="D15" s="396">
        <f>'KRI Tracking'!G10</f>
        <v>0</v>
      </c>
      <c r="E15" s="396">
        <f>'KRI Tracking'!E10</f>
        <v>1</v>
      </c>
      <c r="F15" s="396">
        <f>'KRI Tracking'!F10</f>
        <v>2</v>
      </c>
      <c r="G15" s="396">
        <f>'KRI Tracking'!H10</f>
        <v>0</v>
      </c>
      <c r="H15" s="396" t="str">
        <f>'KRI Tracking'!J10</f>
        <v>Green</v>
      </c>
      <c r="I15" s="396" t="str">
        <f>'KRI Tracking'!I10</f>
        <v>Improving</v>
      </c>
      <c r="J15" s="395" t="s">
        <v>3562</v>
      </c>
      <c r="K15" s="397" t="s">
        <v>3563</v>
      </c>
      <c r="L15" s="396" t="str">
        <f>'KRI Tracking'!K10</f>
        <v>Helen Carter</v>
      </c>
      <c r="M15" s="397" t="str">
        <f>'KRI Tracking'!N10</f>
        <v>BAU</v>
      </c>
      <c r="N15" s="398" t="s">
        <v>3564</v>
      </c>
    </row>
    <row r="16" spans="1:14" ht="409.5">
      <c r="A16" s="389" t="str">
        <f>'KRI Tracking'!A11</f>
        <v>KRI-007</v>
      </c>
      <c r="B16" s="390" t="str">
        <f>'KRI Tracking'!B11</f>
        <v>DLP exceptions raised on GenAI tools (per month)</v>
      </c>
      <c r="C16" s="391" t="str">
        <f>'KRI Tracking'!C11</f>
        <v>RSK-008</v>
      </c>
      <c r="D16" s="391">
        <f>'KRI Tracking'!G11</f>
        <v>14</v>
      </c>
      <c r="E16" s="391">
        <f>'KRI Tracking'!E11</f>
        <v>10</v>
      </c>
      <c r="F16" s="391">
        <f>'KRI Tracking'!F11</f>
        <v>20</v>
      </c>
      <c r="G16" s="391" t="str">
        <f>'KRI Tracking'!H11</f>
        <v>&lt;=8</v>
      </c>
      <c r="H16" s="391" t="str">
        <f>'KRI Tracking'!J11</f>
        <v>Amber</v>
      </c>
      <c r="I16" s="391" t="str">
        <f>'KRI Tracking'!I11</f>
        <v>Deteriorating</v>
      </c>
      <c r="J16" s="390" t="s">
        <v>3565</v>
      </c>
      <c r="K16" s="392" t="s">
        <v>3566</v>
      </c>
      <c r="L16" s="391" t="str">
        <f>'KRI Tracking'!K11</f>
        <v>Karen Holloway</v>
      </c>
      <c r="M16" s="392" t="str">
        <f>'KRI Tracking'!N11</f>
        <v>Monitor at next AIGF</v>
      </c>
      <c r="N16" s="393" t="s">
        <v>3567</v>
      </c>
    </row>
    <row r="17" spans="1:14" ht="409.5">
      <c r="A17" s="394" t="str">
        <f>'KRI Tracking'!A12</f>
        <v>KRI-008</v>
      </c>
      <c r="B17" s="395" t="str">
        <f>'KRI Tracking'!B12</f>
        <v>Document AI extraction reject rate</v>
      </c>
      <c r="C17" s="396" t="str">
        <f>'KRI Tracking'!C12</f>
        <v>RSK-006</v>
      </c>
      <c r="D17" s="396">
        <f>'KRI Tracking'!G12</f>
        <v>3</v>
      </c>
      <c r="E17" s="396">
        <f>'KRI Tracking'!E12</f>
        <v>4</v>
      </c>
      <c r="F17" s="396">
        <f>'KRI Tracking'!F12</f>
        <v>8</v>
      </c>
      <c r="G17" s="396" t="str">
        <f>'KRI Tracking'!H12</f>
        <v>&lt;=3</v>
      </c>
      <c r="H17" s="396" t="str">
        <f>'KRI Tracking'!J12</f>
        <v>Green</v>
      </c>
      <c r="I17" s="396" t="str">
        <f>'KRI Tracking'!I12</f>
        <v>Stable</v>
      </c>
      <c r="J17" s="395" t="s">
        <v>3568</v>
      </c>
      <c r="K17" s="397" t="s">
        <v>3569</v>
      </c>
      <c r="L17" s="396" t="str">
        <f>'KRI Tracking'!K12</f>
        <v>Mohammed Iqbal</v>
      </c>
      <c r="M17" s="397" t="str">
        <f>'KRI Tracking'!N12</f>
        <v>BAU</v>
      </c>
      <c r="N17" s="398" t="s">
        <v>3570</v>
      </c>
    </row>
    <row r="18" spans="1:14" ht="409.5">
      <c r="A18" s="399" t="str">
        <f>'KRI Tracking'!A13</f>
        <v>KRI-009</v>
      </c>
      <c r="B18" s="400" t="str">
        <f>'KRI Tracking'!B13</f>
        <v>Cloud configuration drift on AI workloads</v>
      </c>
      <c r="C18" s="401" t="str">
        <f>'KRI Tracking'!C13</f>
        <v>RSK-010</v>
      </c>
      <c r="D18" s="401">
        <f>'KRI Tracking'!G13</f>
        <v>2</v>
      </c>
      <c r="E18" s="401">
        <f>'KRI Tracking'!E13</f>
        <v>2</v>
      </c>
      <c r="F18" s="401">
        <f>'KRI Tracking'!F13</f>
        <v>5</v>
      </c>
      <c r="G18" s="401">
        <f>'KRI Tracking'!H13</f>
        <v>0</v>
      </c>
      <c r="H18" s="401" t="str">
        <f>'KRI Tracking'!J13</f>
        <v>Amber</v>
      </c>
      <c r="I18" s="401" t="str">
        <f>'KRI Tracking'!I13</f>
        <v>Stable</v>
      </c>
      <c r="J18" s="400" t="s">
        <v>3571</v>
      </c>
      <c r="K18" s="402" t="s">
        <v>3572</v>
      </c>
      <c r="L18" s="401" t="str">
        <f>'KRI Tracking'!K13</f>
        <v>Karen Holloway</v>
      </c>
      <c r="M18" s="402" t="str">
        <f>'KRI Tracking'!N13</f>
        <v>Monitor at next AIGF</v>
      </c>
      <c r="N18" s="403" t="s">
        <v>3573</v>
      </c>
    </row>
    <row r="19" spans="1:14" ht="12" customHeight="1"/>
    <row r="20" spans="1:14" ht="27.95" customHeight="1">
      <c r="A20" s="384" t="s">
        <v>3574</v>
      </c>
      <c r="B20" s="384"/>
      <c r="C20" s="384"/>
      <c r="D20" s="384"/>
      <c r="E20" s="384"/>
      <c r="F20" s="384"/>
      <c r="G20" s="384"/>
      <c r="H20" s="384"/>
      <c r="I20" s="384"/>
      <c r="J20" s="384"/>
      <c r="K20" s="384"/>
      <c r="L20" s="384"/>
      <c r="M20" s="384"/>
      <c r="N20" s="384"/>
    </row>
    <row r="21" spans="1:14" ht="36" customHeight="1">
      <c r="A21" s="386" t="s">
        <v>3540</v>
      </c>
      <c r="B21" s="387" t="s">
        <v>3541</v>
      </c>
      <c r="C21" s="387" t="s">
        <v>758</v>
      </c>
      <c r="D21" s="387" t="s">
        <v>303</v>
      </c>
      <c r="E21" s="387" t="s">
        <v>3575</v>
      </c>
      <c r="F21" s="387" t="s">
        <v>304</v>
      </c>
      <c r="G21" s="387" t="s">
        <v>277</v>
      </c>
      <c r="H21" s="387" t="s">
        <v>1764</v>
      </c>
      <c r="I21" s="387" t="s">
        <v>3543</v>
      </c>
      <c r="J21" s="387" t="s">
        <v>3544</v>
      </c>
      <c r="K21" s="387" t="s">
        <v>3576</v>
      </c>
      <c r="L21" s="387" t="s">
        <v>17</v>
      </c>
      <c r="M21" s="387" t="s">
        <v>16</v>
      </c>
      <c r="N21" s="388" t="s">
        <v>3577</v>
      </c>
    </row>
    <row r="22" spans="1:14" ht="409.5">
      <c r="A22" s="389" t="str">
        <f>'KPI Tracking'!A5</f>
        <v>KPI-001</v>
      </c>
      <c r="B22" s="390" t="str">
        <f>'KPI Tracking'!B5</f>
        <v>AI use case intake decisions on time (within 10 working days)</v>
      </c>
      <c r="C22" s="391" t="str">
        <f>'KPI Tracking'!C5</f>
        <v>SVC-001</v>
      </c>
      <c r="D22" s="391">
        <f>'KPI Tracking'!D5</f>
        <v>0.95</v>
      </c>
      <c r="E22" s="391">
        <f>'KPI Tracking'!E5</f>
        <v>0.97</v>
      </c>
      <c r="F22" s="391">
        <f>IFERROR(D22-E22,"")</f>
        <v>-2.0000000000000018E-2</v>
      </c>
      <c r="G22" s="391" t="str">
        <f>'KPI Tracking'!G5</f>
        <v>On Track</v>
      </c>
      <c r="H22" s="391" t="str">
        <f>'KPI Tracking'!F5</f>
        <v>Improving</v>
      </c>
      <c r="I22" s="390" t="s">
        <v>3578</v>
      </c>
      <c r="J22" s="392" t="s">
        <v>3579</v>
      </c>
      <c r="K22" s="390" t="s">
        <v>3580</v>
      </c>
      <c r="L22" s="391" t="str">
        <f>'KPI Tracking'!H5</f>
        <v>Daniel O'Reilly</v>
      </c>
      <c r="M22" s="391" t="str">
        <f>'KPI Tracking'!I5</f>
        <v>Monthly</v>
      </c>
      <c r="N22" s="393" t="s">
        <v>3581</v>
      </c>
    </row>
    <row r="23" spans="1:14" ht="409.5">
      <c r="A23" s="394" t="str">
        <f>'KPI Tracking'!A6</f>
        <v>KPI-002</v>
      </c>
      <c r="B23" s="395" t="str">
        <f>'KPI Tracking'!B6</f>
        <v>Material models with current independent assurance</v>
      </c>
      <c r="C23" s="396" t="str">
        <f>'KPI Tracking'!C6</f>
        <v>SVC-002</v>
      </c>
      <c r="D23" s="396">
        <f>'KPI Tracking'!D6</f>
        <v>0.98</v>
      </c>
      <c r="E23" s="396">
        <f>'KPI Tracking'!E6</f>
        <v>0.96</v>
      </c>
      <c r="F23" s="396">
        <f>IFERROR(D23-E23,"")</f>
        <v>2.0000000000000018E-2</v>
      </c>
      <c r="G23" s="396" t="str">
        <f>'KPI Tracking'!G6</f>
        <v>At Risk</v>
      </c>
      <c r="H23" s="396" t="str">
        <f>'KPI Tracking'!F6</f>
        <v>Stable</v>
      </c>
      <c r="I23" s="395" t="s">
        <v>3582</v>
      </c>
      <c r="J23" s="397" t="s">
        <v>3583</v>
      </c>
      <c r="K23" s="395" t="s">
        <v>3584</v>
      </c>
      <c r="L23" s="396" t="str">
        <f>'KPI Tracking'!H6</f>
        <v>Mohammed Iqbal</v>
      </c>
      <c r="M23" s="396" t="str">
        <f>'KPI Tracking'!I6</f>
        <v>Monthly</v>
      </c>
      <c r="N23" s="398" t="s">
        <v>3585</v>
      </c>
    </row>
    <row r="24" spans="1:14" ht="409.5">
      <c r="A24" s="389" t="str">
        <f>'KPI Tracking'!A7</f>
        <v>KPI-003</v>
      </c>
      <c r="B24" s="390" t="str">
        <f>'KPI Tracking'!B7</f>
        <v>Claims AI uptime (monthly)</v>
      </c>
      <c r="C24" s="391" t="str">
        <f>'KPI Tracking'!C7</f>
        <v>SVC-003,SVC-010</v>
      </c>
      <c r="D24" s="391">
        <f>'KPI Tracking'!D7</f>
        <v>0.995</v>
      </c>
      <c r="E24" s="391">
        <f>'KPI Tracking'!E7</f>
        <v>0.997</v>
      </c>
      <c r="F24" s="391">
        <f>IFERROR(D24-E24,"")</f>
        <v>-2.0000000000000018E-3</v>
      </c>
      <c r="G24" s="391" t="str">
        <f>'KPI Tracking'!G7</f>
        <v>On Track</v>
      </c>
      <c r="H24" s="391" t="str">
        <f>'KPI Tracking'!F7</f>
        <v>Stable</v>
      </c>
      <c r="I24" s="390" t="s">
        <v>3586</v>
      </c>
      <c r="J24" s="392" t="s">
        <v>3587</v>
      </c>
      <c r="K24" s="390" t="s">
        <v>3588</v>
      </c>
      <c r="L24" s="391" t="str">
        <f>'KPI Tracking'!H7</f>
        <v>Mohammed Iqbal</v>
      </c>
      <c r="M24" s="391" t="str">
        <f>'KPI Tracking'!I7</f>
        <v>Weekly</v>
      </c>
      <c r="N24" s="393" t="s">
        <v>3589</v>
      </c>
    </row>
    <row r="25" spans="1:14" ht="409.5">
      <c r="A25" s="394" t="str">
        <f>'KPI Tracking'!A8</f>
        <v>KPI-004</v>
      </c>
      <c r="B25" s="395" t="str">
        <f>'KPI Tracking'!B8</f>
        <v>Fraud and sanctions FPR within agreed band</v>
      </c>
      <c r="C25" s="396" t="str">
        <f>'KPI Tracking'!C8</f>
        <v>SVC-004,SVC-012</v>
      </c>
      <c r="D25" s="396">
        <f>'KPI Tracking'!D8</f>
        <v>0.9</v>
      </c>
      <c r="E25" s="396">
        <f>'KPI Tracking'!E8</f>
        <v>0.92</v>
      </c>
      <c r="F25" s="396">
        <f>IFERROR(D25-E25,"")</f>
        <v>-2.0000000000000018E-2</v>
      </c>
      <c r="G25" s="396" t="str">
        <f>'KPI Tracking'!G8</f>
        <v>On Track</v>
      </c>
      <c r="H25" s="396" t="str">
        <f>'KPI Tracking'!F8</f>
        <v>Improving</v>
      </c>
      <c r="I25" s="395" t="s">
        <v>3590</v>
      </c>
      <c r="J25" s="397" t="s">
        <v>3591</v>
      </c>
      <c r="K25" s="395" t="s">
        <v>3592</v>
      </c>
      <c r="L25" s="396" t="str">
        <f>'KPI Tracking'!H8</f>
        <v>Helen Carter</v>
      </c>
      <c r="M25" s="396" t="str">
        <f>'KPI Tracking'!I8</f>
        <v>Monthly</v>
      </c>
      <c r="N25" s="398" t="s">
        <v>3593</v>
      </c>
    </row>
    <row r="26" spans="1:14" ht="409.5">
      <c r="A26" s="389" t="str">
        <f>'KPI Tracking'!A9</f>
        <v>KPI-005</v>
      </c>
      <c r="B26" s="390" t="str">
        <f>'KPI Tracking'!B9</f>
        <v>Customer-facing AI sample QA pass rate</v>
      </c>
      <c r="C26" s="391" t="str">
        <f>'KPI Tracking'!C9</f>
        <v>SVC-005,SVC-009</v>
      </c>
      <c r="D26" s="391">
        <f>'KPI Tracking'!D9</f>
        <v>0.95</v>
      </c>
      <c r="E26" s="391">
        <f>'KPI Tracking'!E9</f>
        <v>0.93</v>
      </c>
      <c r="F26" s="391">
        <f>IFERROR(D26-E26,"")</f>
        <v>1.9999999999999907E-2</v>
      </c>
      <c r="G26" s="391" t="str">
        <f>'KPI Tracking'!G9</f>
        <v>At Risk</v>
      </c>
      <c r="H26" s="391" t="str">
        <f>'KPI Tracking'!F9</f>
        <v>Stable</v>
      </c>
      <c r="I26" s="390" t="s">
        <v>3594</v>
      </c>
      <c r="J26" s="392" t="s">
        <v>3595</v>
      </c>
      <c r="K26" s="390" t="s">
        <v>3596</v>
      </c>
      <c r="L26" s="391" t="str">
        <f>'KPI Tracking'!H9</f>
        <v>Olivia Bennett</v>
      </c>
      <c r="M26" s="391" t="str">
        <f>'KPI Tracking'!I9</f>
        <v>Monthly</v>
      </c>
      <c r="N26" s="393" t="s">
        <v>3597</v>
      </c>
    </row>
    <row r="27" spans="1:14" ht="409.5">
      <c r="A27" s="394" t="str">
        <f>'KPI Tracking'!A10</f>
        <v>KPI-006</v>
      </c>
      <c r="B27" s="395" t="str">
        <f>'KPI Tracking'!B10</f>
        <v>SOC mean-time-to-triage on AI-related alerts</v>
      </c>
      <c r="C27" s="396" t="str">
        <f>'KPI Tracking'!C10</f>
        <v>SVC-014</v>
      </c>
      <c r="D27" s="396">
        <f>'KPI Tracking'!D10</f>
        <v>15</v>
      </c>
      <c r="E27" s="396">
        <f>'KPI Tracking'!E10</f>
        <v>12</v>
      </c>
      <c r="F27" s="396">
        <f>IFERROR(D27-E27,"")</f>
        <v>3</v>
      </c>
      <c r="G27" s="396" t="str">
        <f>'KPI Tracking'!G10</f>
        <v>On Track</v>
      </c>
      <c r="H27" s="396" t="str">
        <f>'KPI Tracking'!F10</f>
        <v>Improving</v>
      </c>
      <c r="I27" s="395" t="s">
        <v>3598</v>
      </c>
      <c r="J27" s="397" t="s">
        <v>3599</v>
      </c>
      <c r="K27" s="395" t="s">
        <v>3600</v>
      </c>
      <c r="L27" s="396" t="str">
        <f>'KPI Tracking'!H10</f>
        <v>Karen Holloway</v>
      </c>
      <c r="M27" s="396" t="str">
        <f>'KPI Tracking'!I10</f>
        <v>Weekly</v>
      </c>
      <c r="N27" s="398" t="s">
        <v>3601</v>
      </c>
    </row>
    <row r="28" spans="1:14" ht="409.5">
      <c r="A28" s="389" t="str">
        <f>'KPI Tracking'!A11</f>
        <v>KPI-007</v>
      </c>
      <c r="B28" s="390" t="str">
        <f>'KPI Tracking'!B11</f>
        <v>Tier-1 vendor due diligence currency</v>
      </c>
      <c r="C28" s="391" t="str">
        <f>'KPI Tracking'!C11</f>
        <v>SVC-015</v>
      </c>
      <c r="D28" s="391">
        <f>'KPI Tracking'!D11</f>
        <v>1</v>
      </c>
      <c r="E28" s="391">
        <f>'KPI Tracking'!E11</f>
        <v>0.94</v>
      </c>
      <c r="F28" s="391">
        <f>IFERROR(D28-E28,"")</f>
        <v>6.0000000000000053E-2</v>
      </c>
      <c r="G28" s="391" t="str">
        <f>'KPI Tracking'!G11</f>
        <v>Off Track</v>
      </c>
      <c r="H28" s="391" t="str">
        <f>'KPI Tracking'!F11</f>
        <v>Stable</v>
      </c>
      <c r="I28" s="390" t="s">
        <v>3602</v>
      </c>
      <c r="J28" s="392" t="s">
        <v>3603</v>
      </c>
      <c r="K28" s="390" t="s">
        <v>3604</v>
      </c>
      <c r="L28" s="391" t="str">
        <f>'KPI Tracking'!H11</f>
        <v>Sarah Mitchell</v>
      </c>
      <c r="M28" s="391" t="str">
        <f>'KPI Tracking'!I11</f>
        <v>Monthly</v>
      </c>
      <c r="N28" s="393" t="s">
        <v>3605</v>
      </c>
    </row>
    <row r="29" spans="1:14" ht="409.5">
      <c r="A29" s="394" t="str">
        <f>'KPI Tracking'!A12</f>
        <v>KPI-008</v>
      </c>
      <c r="B29" s="395" t="str">
        <f>'KPI Tracking'!B12</f>
        <v>Document AI extraction QA reject rate</v>
      </c>
      <c r="C29" s="396" t="str">
        <f>'KPI Tracking'!C12</f>
        <v>SVC-006,SVC-011</v>
      </c>
      <c r="D29" s="396">
        <f>'KPI Tracking'!D12</f>
        <v>0.04</v>
      </c>
      <c r="E29" s="396">
        <f>'KPI Tracking'!E12</f>
        <v>0.03</v>
      </c>
      <c r="F29" s="396">
        <f>IFERROR(D29-E29,"")</f>
        <v>1.0000000000000002E-2</v>
      </c>
      <c r="G29" s="396" t="str">
        <f>'KPI Tracking'!G12</f>
        <v>On Track</v>
      </c>
      <c r="H29" s="396" t="str">
        <f>'KPI Tracking'!F12</f>
        <v>Stable</v>
      </c>
      <c r="I29" s="395" t="s">
        <v>3606</v>
      </c>
      <c r="J29" s="397" t="s">
        <v>3607</v>
      </c>
      <c r="K29" s="395" t="s">
        <v>3608</v>
      </c>
      <c r="L29" s="396" t="str">
        <f>'KPI Tracking'!H12</f>
        <v>Mohammed Iqbal</v>
      </c>
      <c r="M29" s="396" t="str">
        <f>'KPI Tracking'!I12</f>
        <v>Monthly</v>
      </c>
      <c r="N29" s="398" t="s">
        <v>3609</v>
      </c>
    </row>
    <row r="30" spans="1:14" ht="409.5">
      <c r="A30" s="389" t="str">
        <f>'KPI Tracking'!A13</f>
        <v>KPI-009</v>
      </c>
      <c r="B30" s="390" t="str">
        <f>'KPI Tracking'!B13</f>
        <v>Claims triage SLA attainment</v>
      </c>
      <c r="C30" s="391" t="str">
        <f>'KPI Tracking'!C13</f>
        <v>SVC-003</v>
      </c>
      <c r="D30" s="391">
        <f>'KPI Tracking'!D13</f>
        <v>0.98</v>
      </c>
      <c r="E30" s="391">
        <f>'KPI Tracking'!E13</f>
        <v>0.98499999999999999</v>
      </c>
      <c r="F30" s="391">
        <f>IFERROR(D30-E30,"")</f>
        <v>-5.0000000000000044E-3</v>
      </c>
      <c r="G30" s="391" t="str">
        <f>'KPI Tracking'!G13</f>
        <v>On Track</v>
      </c>
      <c r="H30" s="391" t="str">
        <f>'KPI Tracking'!F13</f>
        <v>Improving</v>
      </c>
      <c r="I30" s="390" t="s">
        <v>3610</v>
      </c>
      <c r="J30" s="392" t="s">
        <v>3611</v>
      </c>
      <c r="K30" s="390" t="s">
        <v>3612</v>
      </c>
      <c r="L30" s="391" t="str">
        <f>'KPI Tracking'!H13</f>
        <v>James Whitfield</v>
      </c>
      <c r="M30" s="391" t="str">
        <f>'KPI Tracking'!I13</f>
        <v>Weekly</v>
      </c>
      <c r="N30" s="393" t="s">
        <v>3613</v>
      </c>
    </row>
    <row r="31" spans="1:14" ht="409.5">
      <c r="A31" s="394" t="str">
        <f>'KPI Tracking'!A14</f>
        <v>KPI-010</v>
      </c>
      <c r="B31" s="395" t="str">
        <f>'KPI Tracking'!B14</f>
        <v>Customer complaints linked to AI behaviour (per 1000 customers)</v>
      </c>
      <c r="C31" s="396" t="str">
        <f>'KPI Tracking'!C14</f>
        <v>SVC-005,SVC-009</v>
      </c>
      <c r="D31" s="396">
        <f>'KPI Tracking'!D14</f>
        <v>0.5</v>
      </c>
      <c r="E31" s="396">
        <f>'KPI Tracking'!E14</f>
        <v>0.4</v>
      </c>
      <c r="F31" s="396">
        <f>IFERROR(D31-E31,"")</f>
        <v>9.9999999999999978E-2</v>
      </c>
      <c r="G31" s="396" t="str">
        <f>'KPI Tracking'!G14</f>
        <v>On Track</v>
      </c>
      <c r="H31" s="396" t="str">
        <f>'KPI Tracking'!F14</f>
        <v>Improving</v>
      </c>
      <c r="I31" s="395" t="s">
        <v>3614</v>
      </c>
      <c r="J31" s="397" t="s">
        <v>3615</v>
      </c>
      <c r="K31" s="395" t="s">
        <v>3616</v>
      </c>
      <c r="L31" s="396" t="str">
        <f>'KPI Tracking'!H14</f>
        <v>Olivia Bennett</v>
      </c>
      <c r="M31" s="396" t="str">
        <f>'KPI Tracking'!I14</f>
        <v>Monthly</v>
      </c>
      <c r="N31" s="398" t="s">
        <v>3617</v>
      </c>
    </row>
    <row r="32" spans="1:14" ht="409.5">
      <c r="A32" s="399" t="str">
        <f>'KPI Tracking'!A15</f>
        <v>KPI-011</v>
      </c>
      <c r="B32" s="400" t="str">
        <f>'KPI Tracking'!B15</f>
        <v>Internal GenAI tooling adoption (% of eligible users active monthly)</v>
      </c>
      <c r="C32" s="401" t="str">
        <f>'KPI Tracking'!C15</f>
        <v>SVC-007,SVC-008,SVC-009</v>
      </c>
      <c r="D32" s="401">
        <f>'KPI Tracking'!D15</f>
        <v>0.7</v>
      </c>
      <c r="E32" s="401">
        <f>'KPI Tracking'!E15</f>
        <v>0.73</v>
      </c>
      <c r="F32" s="401">
        <f>IFERROR(D32-E32,"")</f>
        <v>-3.0000000000000027E-2</v>
      </c>
      <c r="G32" s="401" t="str">
        <f>'KPI Tracking'!G15</f>
        <v>On Track</v>
      </c>
      <c r="H32" s="401" t="str">
        <f>'KPI Tracking'!F15</f>
        <v>Stable</v>
      </c>
      <c r="I32" s="400" t="s">
        <v>3618</v>
      </c>
      <c r="J32" s="402" t="s">
        <v>3619</v>
      </c>
      <c r="K32" s="400" t="s">
        <v>3620</v>
      </c>
      <c r="L32" s="401" t="str">
        <f>'KPI Tracking'!H15</f>
        <v>Karen Holloway</v>
      </c>
      <c r="M32" s="401" t="str">
        <f>'KPI Tracking'!I15</f>
        <v>Monthly</v>
      </c>
      <c r="N32" s="403" t="s">
        <v>3621</v>
      </c>
    </row>
    <row r="33" spans="1:14" ht="12" customHeight="1"/>
    <row r="34" spans="1:14" ht="27.95" customHeight="1">
      <c r="A34" s="384" t="s">
        <v>3622</v>
      </c>
      <c r="B34" s="384"/>
      <c r="C34" s="384"/>
      <c r="D34" s="384"/>
      <c r="E34" s="384"/>
      <c r="F34" s="384"/>
      <c r="G34" s="384"/>
      <c r="H34" s="384"/>
      <c r="I34" s="384"/>
      <c r="J34" s="384"/>
      <c r="K34" s="384"/>
      <c r="L34" s="384"/>
      <c r="M34" s="384"/>
      <c r="N34" s="384"/>
    </row>
    <row r="35" spans="1:14" ht="20.100000000000001" customHeight="1">
      <c r="A35" s="257" t="s">
        <v>3623</v>
      </c>
      <c r="B35" s="258"/>
      <c r="C35" s="257" t="s">
        <v>3624</v>
      </c>
      <c r="D35" s="258"/>
      <c r="E35" s="257" t="s">
        <v>3625</v>
      </c>
      <c r="F35" s="258"/>
      <c r="G35" s="257" t="s">
        <v>3626</v>
      </c>
      <c r="H35" s="258"/>
      <c r="I35" s="257" t="s">
        <v>3627</v>
      </c>
      <c r="J35" s="258"/>
      <c r="K35" s="258"/>
      <c r="L35" s="258"/>
      <c r="M35" s="258"/>
      <c r="N35" s="259"/>
    </row>
    <row r="36" spans="1:14" ht="39.950000000000003" customHeight="1">
      <c r="A36" s="404">
        <f>COUNTIF(H10:H18,"Amber")+COUNTIF(H10:H18,"Red")</f>
        <v>2</v>
      </c>
      <c r="B36" s="406"/>
      <c r="C36" s="404">
        <f>COUNTIF(I10:I18,"Deteriorating")</f>
        <v>1</v>
      </c>
      <c r="D36" s="406"/>
      <c r="E36" s="404">
        <f>COUNTIF(G22:G32,"At Risk")+COUNTIF(G22:G32,"Off Track")</f>
        <v>3</v>
      </c>
      <c r="F36" s="406"/>
      <c r="G36" s="404">
        <f>COUNTA(A10:A18)+COUNTA(A22:A32)</f>
        <v>20</v>
      </c>
      <c r="H36" s="406"/>
      <c r="I36" s="407" t="str">
        <f>IF(COUNTIF(H10:H18,"Red")&gt;0,"RED - Immediate Action Required",IF(A36+E36&gt;4,"AMBER - Heightened Monitoring",IF(A36+E36&gt;2,"AMBER - Monitor Closely","GREEN - Within Appetite")))</f>
        <v>AMBER - Heightened Monitoring</v>
      </c>
      <c r="J36" s="406"/>
      <c r="K36" s="406"/>
      <c r="L36" s="406"/>
      <c r="M36" s="406"/>
      <c r="N36" s="405"/>
    </row>
    <row r="37" spans="1:14" ht="20.100000000000001" customHeight="1">
      <c r="A37" s="301" t="s">
        <v>3628</v>
      </c>
      <c r="B37" s="302"/>
      <c r="C37" s="301" t="s">
        <v>3629</v>
      </c>
      <c r="D37" s="302"/>
      <c r="E37" s="301" t="s">
        <v>3630</v>
      </c>
      <c r="F37" s="302"/>
      <c r="G37" s="301" t="s">
        <v>3631</v>
      </c>
      <c r="H37" s="302"/>
      <c r="I37" s="301" t="s">
        <v>3632</v>
      </c>
      <c r="J37" s="302"/>
      <c r="K37" s="302"/>
      <c r="L37" s="302"/>
      <c r="M37" s="302"/>
      <c r="N37" s="303"/>
    </row>
    <row r="38" spans="1:14" ht="12" customHeight="1"/>
    <row r="39" spans="1:14" ht="27.95" customHeight="1">
      <c r="A39" s="384" t="s">
        <v>3633</v>
      </c>
      <c r="B39" s="384"/>
      <c r="C39" s="384"/>
      <c r="D39" s="384"/>
      <c r="E39" s="384"/>
      <c r="F39" s="384"/>
      <c r="G39" s="384"/>
      <c r="H39" s="384"/>
      <c r="I39" s="384"/>
      <c r="J39" s="384"/>
      <c r="K39" s="384"/>
      <c r="L39" s="384"/>
      <c r="M39" s="384"/>
      <c r="N39" s="384"/>
    </row>
    <row r="40" spans="1:14" ht="27.95" customHeight="1">
      <c r="A40" s="408" t="s">
        <v>1682</v>
      </c>
      <c r="B40" s="409" t="s">
        <v>74</v>
      </c>
      <c r="C40" s="409" t="s">
        <v>3634</v>
      </c>
      <c r="D40" s="410" t="s">
        <v>3635</v>
      </c>
      <c r="E40" s="410"/>
      <c r="F40" s="410"/>
      <c r="G40" s="410"/>
      <c r="H40" s="410" t="s">
        <v>3636</v>
      </c>
      <c r="I40" s="410"/>
      <c r="J40" s="410"/>
      <c r="K40" s="410"/>
      <c r="L40" s="409" t="s">
        <v>3637</v>
      </c>
      <c r="M40" s="409" t="s">
        <v>17</v>
      </c>
      <c r="N40" s="411" t="s">
        <v>458</v>
      </c>
    </row>
    <row r="41" spans="1:14" ht="25.5">
      <c r="A41" s="412">
        <v>1</v>
      </c>
      <c r="B41" s="413" t="s">
        <v>3638</v>
      </c>
      <c r="C41" s="414" t="s">
        <v>3639</v>
      </c>
      <c r="D41" s="415" t="s">
        <v>3640</v>
      </c>
      <c r="E41" s="415"/>
      <c r="F41" s="415"/>
      <c r="G41" s="415"/>
      <c r="H41" s="416" t="s">
        <v>3641</v>
      </c>
      <c r="I41" s="416"/>
      <c r="J41" s="416"/>
      <c r="K41" s="416"/>
      <c r="L41" s="417" t="s">
        <v>3642</v>
      </c>
      <c r="M41" s="385" t="s">
        <v>3643</v>
      </c>
      <c r="N41" s="418" t="s">
        <v>1170</v>
      </c>
    </row>
    <row r="42" spans="1:14" ht="25.5">
      <c r="A42" s="412">
        <v>2</v>
      </c>
      <c r="B42" s="413" t="s">
        <v>3644</v>
      </c>
      <c r="C42" s="414" t="s">
        <v>3645</v>
      </c>
      <c r="D42" s="415" t="s">
        <v>3646</v>
      </c>
      <c r="E42" s="415"/>
      <c r="F42" s="415"/>
      <c r="G42" s="415"/>
      <c r="H42" s="416" t="s">
        <v>3647</v>
      </c>
      <c r="I42" s="416"/>
      <c r="J42" s="416"/>
      <c r="K42" s="416"/>
      <c r="L42" s="417" t="s">
        <v>3648</v>
      </c>
      <c r="M42" s="385" t="s">
        <v>3643</v>
      </c>
      <c r="N42" s="418" t="s">
        <v>265</v>
      </c>
    </row>
    <row r="43" spans="1:14" ht="25.5">
      <c r="A43" s="419">
        <v>3</v>
      </c>
      <c r="B43" s="413" t="s">
        <v>3649</v>
      </c>
      <c r="C43" s="414" t="s">
        <v>3650</v>
      </c>
      <c r="D43" s="415" t="s">
        <v>3651</v>
      </c>
      <c r="E43" s="415"/>
      <c r="F43" s="415"/>
      <c r="G43" s="415"/>
      <c r="H43" s="416" t="s">
        <v>3652</v>
      </c>
      <c r="I43" s="416"/>
      <c r="J43" s="416"/>
      <c r="K43" s="416"/>
      <c r="L43" s="417" t="s">
        <v>3653</v>
      </c>
      <c r="M43" s="385" t="s">
        <v>3654</v>
      </c>
      <c r="N43" s="418" t="s">
        <v>1170</v>
      </c>
    </row>
    <row r="44" spans="1:14" ht="25.5">
      <c r="A44" s="419">
        <v>4</v>
      </c>
      <c r="B44" s="413" t="s">
        <v>3655</v>
      </c>
      <c r="C44" s="414" t="s">
        <v>3656</v>
      </c>
      <c r="D44" s="420" t="s">
        <v>3657</v>
      </c>
      <c r="E44" s="420"/>
      <c r="F44" s="420"/>
      <c r="G44" s="420"/>
      <c r="H44" s="421" t="s">
        <v>3658</v>
      </c>
      <c r="I44" s="421"/>
      <c r="J44" s="421"/>
      <c r="K44" s="421"/>
      <c r="L44" s="417" t="s">
        <v>3659</v>
      </c>
      <c r="M44" s="385" t="s">
        <v>3660</v>
      </c>
      <c r="N44" s="418" t="s">
        <v>270</v>
      </c>
    </row>
    <row r="45" spans="1:14" ht="25.5">
      <c r="A45" s="422">
        <v>5</v>
      </c>
      <c r="B45" s="423" t="s">
        <v>3661</v>
      </c>
      <c r="C45" s="424" t="s">
        <v>3662</v>
      </c>
      <c r="D45" s="425" t="s">
        <v>3663</v>
      </c>
      <c r="E45" s="425"/>
      <c r="F45" s="425"/>
      <c r="G45" s="425"/>
      <c r="H45" s="426" t="s">
        <v>3664</v>
      </c>
      <c r="I45" s="426"/>
      <c r="J45" s="426"/>
      <c r="K45" s="426"/>
      <c r="L45" s="427" t="s">
        <v>126</v>
      </c>
      <c r="M45" s="428" t="s">
        <v>3665</v>
      </c>
      <c r="N45" s="429" t="s">
        <v>1170</v>
      </c>
    </row>
    <row r="46" spans="1:14" ht="12" customHeight="1"/>
    <row r="47" spans="1:14" ht="27.95" customHeight="1">
      <c r="A47" s="384" t="s">
        <v>3666</v>
      </c>
      <c r="B47" s="384"/>
      <c r="C47" s="384"/>
      <c r="D47" s="384"/>
      <c r="E47" s="384"/>
      <c r="F47" s="384"/>
      <c r="G47" s="384"/>
      <c r="H47" s="384"/>
      <c r="I47" s="384"/>
      <c r="J47" s="384"/>
      <c r="K47" s="384"/>
      <c r="L47" s="384"/>
      <c r="M47" s="384"/>
      <c r="N47" s="384"/>
    </row>
    <row r="48" spans="1:14" ht="27.95" customHeight="1">
      <c r="A48" s="430" t="s">
        <v>3667</v>
      </c>
      <c r="B48" s="387" t="s">
        <v>75</v>
      </c>
      <c r="C48" s="387" t="s">
        <v>76</v>
      </c>
      <c r="D48" s="431" t="s">
        <v>77</v>
      </c>
      <c r="E48" s="432" t="s">
        <v>1340</v>
      </c>
      <c r="F48" s="432"/>
      <c r="G48" s="432"/>
      <c r="H48" s="432"/>
      <c r="I48" s="432" t="s">
        <v>3668</v>
      </c>
      <c r="J48" s="432"/>
      <c r="K48" s="432"/>
      <c r="L48" s="432" t="s">
        <v>2703</v>
      </c>
      <c r="M48" s="432"/>
      <c r="N48" s="433"/>
    </row>
    <row r="49" spans="1:14" ht="63.75">
      <c r="A49" s="434" t="s">
        <v>3669</v>
      </c>
      <c r="B49" s="435" t="s">
        <v>3670</v>
      </c>
      <c r="C49" s="436" t="s">
        <v>3671</v>
      </c>
      <c r="D49" s="437" t="s">
        <v>3672</v>
      </c>
      <c r="E49" s="438" t="s">
        <v>3673</v>
      </c>
      <c r="F49" s="438"/>
      <c r="G49" s="438"/>
      <c r="H49" s="438"/>
      <c r="I49" s="438" t="s">
        <v>3674</v>
      </c>
      <c r="J49" s="438"/>
      <c r="K49" s="438"/>
      <c r="L49" s="438" t="s">
        <v>3675</v>
      </c>
      <c r="M49" s="438"/>
      <c r="N49" s="439"/>
    </row>
    <row r="50" spans="1:14" ht="38.25">
      <c r="A50" s="434" t="s">
        <v>3676</v>
      </c>
      <c r="B50" s="435" t="s">
        <v>3677</v>
      </c>
      <c r="C50" s="436" t="s">
        <v>3678</v>
      </c>
      <c r="D50" s="437" t="s">
        <v>1800</v>
      </c>
      <c r="E50" s="438" t="s">
        <v>3679</v>
      </c>
      <c r="F50" s="438"/>
      <c r="G50" s="438"/>
      <c r="H50" s="438"/>
      <c r="I50" s="438" t="s">
        <v>3680</v>
      </c>
      <c r="J50" s="438"/>
      <c r="K50" s="438"/>
      <c r="L50" s="438" t="s">
        <v>3681</v>
      </c>
      <c r="M50" s="438"/>
      <c r="N50" s="439"/>
    </row>
    <row r="51" spans="1:14" ht="76.5">
      <c r="A51" s="434" t="s">
        <v>3682</v>
      </c>
      <c r="B51" s="435" t="s">
        <v>2411</v>
      </c>
      <c r="C51" s="436" t="s">
        <v>3683</v>
      </c>
      <c r="D51" s="437" t="s">
        <v>3684</v>
      </c>
      <c r="E51" s="438" t="s">
        <v>3685</v>
      </c>
      <c r="F51" s="438"/>
      <c r="G51" s="438"/>
      <c r="H51" s="438"/>
      <c r="I51" s="438" t="s">
        <v>3686</v>
      </c>
      <c r="J51" s="438"/>
      <c r="K51" s="438"/>
      <c r="L51" s="438" t="s">
        <v>3687</v>
      </c>
      <c r="M51" s="438"/>
      <c r="N51" s="439"/>
    </row>
    <row r="52" spans="1:14" ht="38.25">
      <c r="A52" s="434" t="s">
        <v>3688</v>
      </c>
      <c r="B52" s="435" t="s">
        <v>3689</v>
      </c>
      <c r="C52" s="436" t="s">
        <v>3690</v>
      </c>
      <c r="D52" s="437" t="s">
        <v>3691</v>
      </c>
      <c r="E52" s="440" t="s">
        <v>3692</v>
      </c>
      <c r="F52" s="440"/>
      <c r="G52" s="440"/>
      <c r="H52" s="440"/>
      <c r="I52" s="440" t="s">
        <v>3693</v>
      </c>
      <c r="J52" s="440"/>
      <c r="K52" s="440"/>
      <c r="L52" s="440" t="s">
        <v>3694</v>
      </c>
      <c r="M52" s="440"/>
      <c r="N52" s="441"/>
    </row>
    <row r="53" spans="1:14" ht="76.5">
      <c r="A53" s="434" t="s">
        <v>104</v>
      </c>
      <c r="B53" s="435" t="s">
        <v>105</v>
      </c>
      <c r="C53" s="436" t="s">
        <v>3695</v>
      </c>
      <c r="D53" s="437" t="s">
        <v>107</v>
      </c>
      <c r="E53" s="440" t="s">
        <v>3696</v>
      </c>
      <c r="F53" s="440"/>
      <c r="G53" s="440"/>
      <c r="H53" s="440"/>
      <c r="I53" s="440" t="s">
        <v>3697</v>
      </c>
      <c r="J53" s="440"/>
      <c r="K53" s="440"/>
      <c r="L53" s="440" t="s">
        <v>3698</v>
      </c>
      <c r="M53" s="440"/>
      <c r="N53" s="441"/>
    </row>
    <row r="54" spans="1:14" ht="76.5">
      <c r="A54" s="442" t="s">
        <v>3699</v>
      </c>
      <c r="B54" s="443" t="s">
        <v>3700</v>
      </c>
      <c r="C54" s="444" t="s">
        <v>3701</v>
      </c>
      <c r="D54" s="445" t="s">
        <v>3702</v>
      </c>
      <c r="E54" s="446" t="s">
        <v>3703</v>
      </c>
      <c r="F54" s="446"/>
      <c r="G54" s="446"/>
      <c r="H54" s="446"/>
      <c r="I54" s="446" t="s">
        <v>3704</v>
      </c>
      <c r="J54" s="446"/>
      <c r="K54" s="446"/>
      <c r="L54" s="446" t="s">
        <v>3705</v>
      </c>
      <c r="M54" s="446"/>
      <c r="N54" s="447"/>
    </row>
    <row r="55" spans="1:14" ht="12" customHeight="1"/>
    <row r="56" spans="1:14" ht="27.95" customHeight="1">
      <c r="A56" s="448" t="s">
        <v>3706</v>
      </c>
      <c r="B56" s="448"/>
      <c r="C56" s="448"/>
      <c r="D56" s="448"/>
      <c r="E56" s="448"/>
      <c r="F56" s="448"/>
      <c r="G56" s="448"/>
      <c r="H56" s="448"/>
      <c r="I56" s="448"/>
      <c r="J56" s="448"/>
      <c r="K56" s="448"/>
      <c r="L56" s="448"/>
      <c r="M56" s="448"/>
      <c r="N56" s="448"/>
    </row>
    <row r="57" spans="1:14" ht="21.95" customHeight="1">
      <c r="A57" s="375" t="s">
        <v>3707</v>
      </c>
      <c r="B57" s="375"/>
      <c r="C57" s="375"/>
      <c r="D57" s="375"/>
      <c r="E57" s="375"/>
      <c r="F57" s="375"/>
      <c r="G57" s="375"/>
      <c r="H57" s="375"/>
      <c r="I57" s="375"/>
      <c r="J57" s="375"/>
      <c r="K57" s="375"/>
      <c r="L57" s="375"/>
      <c r="M57" s="375"/>
      <c r="N57" s="375"/>
    </row>
  </sheetData>
  <mergeCells count="60">
    <mergeCell ref="E54:H54"/>
    <mergeCell ref="I54:K54"/>
    <mergeCell ref="L54:N54"/>
    <mergeCell ref="A56:N56"/>
    <mergeCell ref="A57:N57"/>
    <mergeCell ref="E52:H52"/>
    <mergeCell ref="I52:K52"/>
    <mergeCell ref="L52:N52"/>
    <mergeCell ref="E53:H53"/>
    <mergeCell ref="I53:K53"/>
    <mergeCell ref="L53:N53"/>
    <mergeCell ref="E50:H50"/>
    <mergeCell ref="I50:K50"/>
    <mergeCell ref="L50:N50"/>
    <mergeCell ref="E51:H51"/>
    <mergeCell ref="I51:K51"/>
    <mergeCell ref="L51:N51"/>
    <mergeCell ref="A47:N47"/>
    <mergeCell ref="E48:H48"/>
    <mergeCell ref="I48:K48"/>
    <mergeCell ref="L48:N48"/>
    <mergeCell ref="E49:H49"/>
    <mergeCell ref="I49:K49"/>
    <mergeCell ref="L49:N49"/>
    <mergeCell ref="D43:G43"/>
    <mergeCell ref="H43:K43"/>
    <mergeCell ref="D44:G44"/>
    <mergeCell ref="H44:K44"/>
    <mergeCell ref="D45:G45"/>
    <mergeCell ref="H45:K45"/>
    <mergeCell ref="A39:N39"/>
    <mergeCell ref="D40:G40"/>
    <mergeCell ref="H40:K40"/>
    <mergeCell ref="D41:G41"/>
    <mergeCell ref="H41:K41"/>
    <mergeCell ref="D42:G42"/>
    <mergeCell ref="H42:K42"/>
    <mergeCell ref="A36:B36"/>
    <mergeCell ref="C36:D36"/>
    <mergeCell ref="E36:F36"/>
    <mergeCell ref="G36:H36"/>
    <mergeCell ref="I36:N36"/>
    <mergeCell ref="A37:B37"/>
    <mergeCell ref="C37:D37"/>
    <mergeCell ref="E37:F37"/>
    <mergeCell ref="G37:H37"/>
    <mergeCell ref="I37:N37"/>
    <mergeCell ref="A20:N20"/>
    <mergeCell ref="A34:N34"/>
    <mergeCell ref="A35:B35"/>
    <mergeCell ref="C35:D35"/>
    <mergeCell ref="E35:F35"/>
    <mergeCell ref="G35:H35"/>
    <mergeCell ref="I35:N35"/>
    <mergeCell ref="A1:N1"/>
    <mergeCell ref="A2:N2"/>
    <mergeCell ref="A3:N3"/>
    <mergeCell ref="A5:N5"/>
    <mergeCell ref="A6:N6"/>
    <mergeCell ref="A8:N8"/>
  </mergeCells>
  <conditionalFormatting sqref="H10:H18">
    <cfRule type="cellIs" dxfId="55" priority="1" operator="equal">
      <formula>"Green"</formula>
    </cfRule>
  </conditionalFormatting>
  <conditionalFormatting sqref="H10:H18">
    <cfRule type="cellIs" dxfId="54" priority="2" operator="equal">
      <formula>"Amber"</formula>
    </cfRule>
  </conditionalFormatting>
  <conditionalFormatting sqref="H10:H18">
    <cfRule type="cellIs" dxfId="53" priority="3" operator="equal">
      <formula>"Red"</formula>
    </cfRule>
  </conditionalFormatting>
  <conditionalFormatting sqref="I10:I18">
    <cfRule type="cellIs" dxfId="52" priority="4" operator="equal">
      <formula>"Improving"</formula>
    </cfRule>
  </conditionalFormatting>
  <conditionalFormatting sqref="I10:I18">
    <cfRule type="cellIs" dxfId="51" priority="5" operator="equal">
      <formula>"Stable"</formula>
    </cfRule>
  </conditionalFormatting>
  <conditionalFormatting sqref="I10:I18">
    <cfRule type="cellIs" dxfId="50" priority="6" operator="equal">
      <formula>"Deteriorating"</formula>
    </cfRule>
  </conditionalFormatting>
  <conditionalFormatting sqref="G22:G32">
    <cfRule type="cellIs" dxfId="49" priority="7" operator="equal">
      <formula>"On Track"</formula>
    </cfRule>
  </conditionalFormatting>
  <conditionalFormatting sqref="G22:G32">
    <cfRule type="cellIs" dxfId="48" priority="8" operator="equal">
      <formula>"At Risk"</formula>
    </cfRule>
  </conditionalFormatting>
  <conditionalFormatting sqref="G22:G32">
    <cfRule type="cellIs" dxfId="47" priority="9" operator="equal">
      <formula>"Off Track"</formula>
    </cfRule>
  </conditionalFormatting>
  <conditionalFormatting sqref="H22:H32">
    <cfRule type="cellIs" dxfId="46" priority="10" operator="equal">
      <formula>"Improving"</formula>
    </cfRule>
  </conditionalFormatting>
  <conditionalFormatting sqref="H22:H32">
    <cfRule type="cellIs" dxfId="45" priority="11" operator="equal">
      <formula>"Stable"</formula>
    </cfRule>
  </conditionalFormatting>
  <conditionalFormatting sqref="H22:H32">
    <cfRule type="cellIs" dxfId="44" priority="12" operator="equal">
      <formula>"Deteriorating"</formula>
    </cfRule>
  </conditionalFormatting>
  <conditionalFormatting sqref="A36">
    <cfRule type="cellIs" dxfId="43" priority="13" operator="equal">
      <formula>0</formula>
    </cfRule>
  </conditionalFormatting>
  <conditionalFormatting sqref="A36">
    <cfRule type="cellIs" dxfId="42" priority="14" operator="between">
      <formula>1</formula>
      <formula>2</formula>
    </cfRule>
  </conditionalFormatting>
  <conditionalFormatting sqref="A36">
    <cfRule type="cellIs" dxfId="41" priority="15" operator="greaterThan">
      <formula>2</formula>
    </cfRule>
  </conditionalFormatting>
  <conditionalFormatting sqref="C36">
    <cfRule type="cellIs" dxfId="40" priority="16" operator="equal">
      <formula>0</formula>
    </cfRule>
  </conditionalFormatting>
  <conditionalFormatting sqref="C36">
    <cfRule type="cellIs" dxfId="39" priority="17" operator="equal">
      <formula>1</formula>
    </cfRule>
  </conditionalFormatting>
  <conditionalFormatting sqref="C36">
    <cfRule type="cellIs" dxfId="38" priority="18" operator="greaterThan">
      <formula>1</formula>
    </cfRule>
  </conditionalFormatting>
  <conditionalFormatting sqref="E36">
    <cfRule type="cellIs" dxfId="37" priority="19" operator="equal">
      <formula>0</formula>
    </cfRule>
  </conditionalFormatting>
  <conditionalFormatting sqref="E36">
    <cfRule type="cellIs" dxfId="36" priority="20" operator="between">
      <formula>1</formula>
      <formula>2</formula>
    </cfRule>
  </conditionalFormatting>
  <conditionalFormatting sqref="E36">
    <cfRule type="cellIs" dxfId="35" priority="21" operator="greaterThan">
      <formula>2</formula>
    </cfRule>
  </conditionalFormatting>
  <conditionalFormatting sqref="I36">
    <cfRule type="containsText" dxfId="34" priority="22" operator="containsText" text="GREEN">
      <formula>NOT(ISERROR(SEARCH("GREEN",I36)))</formula>
    </cfRule>
  </conditionalFormatting>
  <conditionalFormatting sqref="I36">
    <cfRule type="containsText" dxfId="33" priority="23" operator="containsText" text="AMBER">
      <formula>NOT(ISERROR(SEARCH("AMBER",I36)))</formula>
    </cfRule>
  </conditionalFormatting>
  <conditionalFormatting sqref="I36">
    <cfRule type="containsText" dxfId="32" priority="24" operator="containsText" text="RED">
      <formula>NOT(ISERROR(SEARCH("RED",I36)))</formula>
    </cfRule>
  </conditionalFormatting>
  <pageMargins left="0.7" right="0.7" top="0.75" bottom="0.75" header="0.3" footer="0.3"/>
  <pageSetup orientation="portrait"/>
  <headerFooter>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087E-DF64-8291-C0B8-8DCA730651C6}">
  <sheetPr>
    <tabColor rgb="FF2F5597"/>
  </sheetPr>
  <dimension ref="A1:L65"/>
  <sheetViews>
    <sheetView workbookViewId="0">
      <selection sqref="A1:L1"/>
    </sheetView>
  </sheetViews>
  <sheetFormatPr defaultColWidth="8.85546875" defaultRowHeight="15" customHeight="1"/>
  <cols>
    <col min="1" max="1" width="11" bestFit="1" customWidth="1"/>
    <col min="2" max="2" width="11.85546875" bestFit="1" customWidth="1"/>
    <col min="3" max="3" width="14.140625" bestFit="1" customWidth="1"/>
    <col min="4" max="4" width="12.5703125" bestFit="1" customWidth="1"/>
    <col min="5" max="5" width="15" bestFit="1" customWidth="1"/>
    <col min="6" max="7" width="10.42578125" bestFit="1" customWidth="1"/>
    <col min="8" max="8" width="8.7109375" bestFit="1" customWidth="1"/>
    <col min="9" max="9" width="10.42578125" bestFit="1" customWidth="1"/>
    <col min="10" max="10" width="16.28515625" bestFit="1" customWidth="1"/>
    <col min="11" max="11" width="19.5703125" bestFit="1" customWidth="1"/>
    <col min="12" max="12" width="11" bestFit="1" customWidth="1"/>
  </cols>
  <sheetData>
    <row r="1" spans="1:12" ht="38.1" customHeight="1">
      <c r="A1" s="377" t="s">
        <v>183</v>
      </c>
      <c r="B1" s="377"/>
      <c r="C1" s="377"/>
      <c r="D1" s="377"/>
      <c r="E1" s="377"/>
      <c r="F1" s="377"/>
      <c r="G1" s="377"/>
      <c r="H1" s="377"/>
      <c r="I1" s="377"/>
      <c r="J1" s="377"/>
      <c r="K1" s="377"/>
      <c r="L1" s="377"/>
    </row>
    <row r="2" spans="1:12" ht="32.1" customHeight="1">
      <c r="A2" s="449" t="s">
        <v>3708</v>
      </c>
      <c r="B2" s="449"/>
      <c r="C2" s="449"/>
      <c r="D2" s="449"/>
      <c r="E2" s="449"/>
      <c r="F2" s="449"/>
      <c r="G2" s="449"/>
      <c r="H2" s="449"/>
      <c r="I2" s="449"/>
      <c r="J2" s="449"/>
      <c r="K2" s="449"/>
      <c r="L2" s="449"/>
    </row>
    <row r="3" spans="1:12" ht="21.95" customHeight="1">
      <c r="A3" s="252" t="s">
        <v>3709</v>
      </c>
      <c r="B3" s="252"/>
      <c r="C3" s="252"/>
      <c r="D3" s="252"/>
      <c r="E3" s="252"/>
      <c r="F3" s="252"/>
      <c r="G3" s="252"/>
      <c r="H3" s="252"/>
      <c r="I3" s="252"/>
      <c r="J3" s="252"/>
      <c r="K3" s="252"/>
      <c r="L3" s="252"/>
    </row>
    <row r="4" spans="1:12" ht="9.9499999999999993" customHeight="1"/>
    <row r="5" spans="1:12" ht="27.95" customHeight="1">
      <c r="A5" s="384" t="s">
        <v>3710</v>
      </c>
      <c r="B5" s="384"/>
      <c r="C5" s="384"/>
      <c r="D5" s="384"/>
      <c r="E5" s="384"/>
      <c r="F5" s="384"/>
      <c r="G5" s="384"/>
      <c r="H5" s="384"/>
      <c r="I5" s="384"/>
      <c r="J5" s="384"/>
      <c r="K5" s="384"/>
      <c r="L5" s="384"/>
    </row>
    <row r="6" spans="1:12" ht="30" customHeight="1">
      <c r="A6" s="386" t="s">
        <v>3711</v>
      </c>
      <c r="B6" s="387" t="s">
        <v>3712</v>
      </c>
      <c r="C6" s="387" t="s">
        <v>3713</v>
      </c>
      <c r="D6" s="387" t="s">
        <v>3714</v>
      </c>
      <c r="E6" s="387" t="s">
        <v>277</v>
      </c>
      <c r="F6" s="387" t="s">
        <v>566</v>
      </c>
      <c r="G6" s="387" t="s">
        <v>3715</v>
      </c>
      <c r="H6" s="387" t="s">
        <v>3716</v>
      </c>
      <c r="I6" s="387" t="s">
        <v>3717</v>
      </c>
      <c r="J6" s="387" t="s">
        <v>3718</v>
      </c>
      <c r="K6" s="387" t="s">
        <v>3719</v>
      </c>
      <c r="L6" s="388" t="s">
        <v>3720</v>
      </c>
    </row>
    <row r="7" spans="1:12" ht="280.5">
      <c r="A7" s="389" t="s">
        <v>3721</v>
      </c>
      <c r="B7" s="450" t="s">
        <v>3722</v>
      </c>
      <c r="C7" s="392" t="s">
        <v>3723</v>
      </c>
      <c r="D7" s="392" t="s">
        <v>3724</v>
      </c>
      <c r="E7" s="391" t="s">
        <v>1691</v>
      </c>
      <c r="F7" s="391" t="s">
        <v>3004</v>
      </c>
      <c r="G7" s="391">
        <v>4</v>
      </c>
      <c r="H7" s="391">
        <v>1</v>
      </c>
      <c r="I7" s="391">
        <v>2</v>
      </c>
      <c r="J7" s="391">
        <v>1</v>
      </c>
      <c r="K7" s="450" t="s">
        <v>3725</v>
      </c>
      <c r="L7" s="451" t="s">
        <v>282</v>
      </c>
    </row>
    <row r="8" spans="1:12" ht="306">
      <c r="A8" s="394" t="s">
        <v>3726</v>
      </c>
      <c r="B8" s="452" t="s">
        <v>3727</v>
      </c>
      <c r="C8" s="397" t="s">
        <v>3728</v>
      </c>
      <c r="D8" s="397" t="s">
        <v>3724</v>
      </c>
      <c r="E8" s="396" t="s">
        <v>1691</v>
      </c>
      <c r="F8" s="396" t="s">
        <v>3729</v>
      </c>
      <c r="G8" s="396">
        <v>3</v>
      </c>
      <c r="H8" s="396">
        <v>1</v>
      </c>
      <c r="I8" s="396">
        <v>1</v>
      </c>
      <c r="J8" s="396">
        <v>1</v>
      </c>
      <c r="K8" s="452" t="s">
        <v>3730</v>
      </c>
      <c r="L8" s="453" t="s">
        <v>278</v>
      </c>
    </row>
    <row r="9" spans="1:12" ht="229.5">
      <c r="A9" s="389" t="s">
        <v>3731</v>
      </c>
      <c r="B9" s="450" t="s">
        <v>3732</v>
      </c>
      <c r="C9" s="392" t="s">
        <v>3733</v>
      </c>
      <c r="D9" s="392" t="s">
        <v>3724</v>
      </c>
      <c r="E9" s="391" t="s">
        <v>1691</v>
      </c>
      <c r="F9" s="391" t="s">
        <v>3734</v>
      </c>
      <c r="G9" s="391">
        <v>3</v>
      </c>
      <c r="H9" s="391">
        <v>1</v>
      </c>
      <c r="I9" s="391">
        <v>1</v>
      </c>
      <c r="J9" s="391">
        <v>1</v>
      </c>
      <c r="K9" s="450" t="s">
        <v>3735</v>
      </c>
      <c r="L9" s="451" t="s">
        <v>280</v>
      </c>
    </row>
    <row r="10" spans="1:12" ht="255">
      <c r="A10" s="394" t="s">
        <v>3736</v>
      </c>
      <c r="B10" s="452" t="s">
        <v>3737</v>
      </c>
      <c r="C10" s="397" t="s">
        <v>3738</v>
      </c>
      <c r="D10" s="397" t="s">
        <v>3739</v>
      </c>
      <c r="E10" s="396" t="s">
        <v>1691</v>
      </c>
      <c r="F10" s="454">
        <v>46299</v>
      </c>
      <c r="G10" s="396">
        <v>2</v>
      </c>
      <c r="H10" s="396">
        <v>0</v>
      </c>
      <c r="I10" s="396">
        <v>1</v>
      </c>
      <c r="J10" s="396">
        <v>1</v>
      </c>
      <c r="K10" s="452" t="s">
        <v>3740</v>
      </c>
      <c r="L10" s="453" t="s">
        <v>3741</v>
      </c>
    </row>
    <row r="11" spans="1:12" ht="229.5">
      <c r="A11" s="389" t="s">
        <v>3742</v>
      </c>
      <c r="B11" s="450" t="s">
        <v>3743</v>
      </c>
      <c r="C11" s="392" t="s">
        <v>3744</v>
      </c>
      <c r="D11" s="392" t="s">
        <v>3724</v>
      </c>
      <c r="E11" s="391" t="s">
        <v>1108</v>
      </c>
      <c r="F11" s="391" t="s">
        <v>126</v>
      </c>
      <c r="G11" s="391"/>
      <c r="H11" s="391"/>
      <c r="I11" s="391"/>
      <c r="J11" s="391"/>
      <c r="K11" s="450" t="s">
        <v>3745</v>
      </c>
      <c r="L11" s="451"/>
    </row>
    <row r="12" spans="1:12" ht="229.5">
      <c r="A12" s="455" t="s">
        <v>3746</v>
      </c>
      <c r="B12" s="456" t="s">
        <v>3747</v>
      </c>
      <c r="C12" s="457" t="s">
        <v>3748</v>
      </c>
      <c r="D12" s="457" t="s">
        <v>3739</v>
      </c>
      <c r="E12" s="458" t="s">
        <v>3194</v>
      </c>
      <c r="F12" s="458" t="s">
        <v>132</v>
      </c>
      <c r="G12" s="458"/>
      <c r="H12" s="458"/>
      <c r="I12" s="458"/>
      <c r="J12" s="458"/>
      <c r="K12" s="456" t="s">
        <v>3749</v>
      </c>
      <c r="L12" s="459"/>
    </row>
    <row r="13" spans="1:12" ht="9.9499999999999993" customHeight="1"/>
    <row r="14" spans="1:12" ht="27.95" customHeight="1">
      <c r="A14" s="384" t="s">
        <v>3750</v>
      </c>
      <c r="B14" s="384"/>
      <c r="C14" s="384"/>
      <c r="D14" s="384"/>
      <c r="E14" s="384"/>
      <c r="F14" s="384"/>
      <c r="G14" s="384"/>
      <c r="H14" s="384"/>
      <c r="I14" s="384"/>
      <c r="J14" s="384"/>
      <c r="K14" s="384"/>
      <c r="L14" s="384"/>
    </row>
    <row r="15" spans="1:12" ht="30" customHeight="1">
      <c r="A15" s="386" t="s">
        <v>3751</v>
      </c>
      <c r="B15" s="387" t="s">
        <v>3752</v>
      </c>
      <c r="C15" s="387" t="s">
        <v>566</v>
      </c>
      <c r="D15" s="387" t="s">
        <v>1338</v>
      </c>
      <c r="E15" s="387" t="s">
        <v>277</v>
      </c>
      <c r="F15" s="387" t="s">
        <v>3753</v>
      </c>
      <c r="G15" s="387" t="s">
        <v>3754</v>
      </c>
      <c r="H15" s="387" t="s">
        <v>3755</v>
      </c>
      <c r="I15" s="387" t="s">
        <v>3756</v>
      </c>
      <c r="J15" s="387" t="s">
        <v>3757</v>
      </c>
      <c r="K15" s="387" t="s">
        <v>1040</v>
      </c>
      <c r="L15" s="388" t="s">
        <v>465</v>
      </c>
    </row>
    <row r="16" spans="1:12" ht="369.75">
      <c r="A16" s="389" t="s">
        <v>3758</v>
      </c>
      <c r="B16" s="450" t="s">
        <v>3759</v>
      </c>
      <c r="C16" s="391" t="s">
        <v>3760</v>
      </c>
      <c r="D16" s="392" t="s">
        <v>3761</v>
      </c>
      <c r="E16" s="391" t="s">
        <v>1691</v>
      </c>
      <c r="F16" s="450" t="s">
        <v>3762</v>
      </c>
      <c r="G16" s="450" t="s">
        <v>3763</v>
      </c>
      <c r="H16" s="392" t="s">
        <v>3764</v>
      </c>
      <c r="I16" s="392" t="s">
        <v>3765</v>
      </c>
      <c r="J16" s="391" t="s">
        <v>3766</v>
      </c>
      <c r="K16" s="391" t="s">
        <v>3004</v>
      </c>
      <c r="L16" s="451" t="s">
        <v>502</v>
      </c>
    </row>
    <row r="17" spans="1:12" ht="409.5">
      <c r="A17" s="394" t="s">
        <v>3767</v>
      </c>
      <c r="B17" s="452" t="s">
        <v>3768</v>
      </c>
      <c r="C17" s="396" t="s">
        <v>3004</v>
      </c>
      <c r="D17" s="397" t="s">
        <v>3761</v>
      </c>
      <c r="E17" s="396" t="s">
        <v>1691</v>
      </c>
      <c r="F17" s="452" t="s">
        <v>3769</v>
      </c>
      <c r="G17" s="452" t="s">
        <v>3770</v>
      </c>
      <c r="H17" s="397" t="s">
        <v>3771</v>
      </c>
      <c r="I17" s="397" t="s">
        <v>3772</v>
      </c>
      <c r="J17" s="396" t="s">
        <v>3773</v>
      </c>
      <c r="K17" s="396" t="s">
        <v>3774</v>
      </c>
      <c r="L17" s="453" t="s">
        <v>502</v>
      </c>
    </row>
    <row r="18" spans="1:12" ht="409.5">
      <c r="A18" s="389" t="s">
        <v>3775</v>
      </c>
      <c r="B18" s="450" t="s">
        <v>3776</v>
      </c>
      <c r="C18" s="391" t="s">
        <v>3774</v>
      </c>
      <c r="D18" s="392" t="s">
        <v>3761</v>
      </c>
      <c r="E18" s="391" t="s">
        <v>1691</v>
      </c>
      <c r="F18" s="450" t="s">
        <v>3777</v>
      </c>
      <c r="G18" s="450" t="s">
        <v>3778</v>
      </c>
      <c r="H18" s="392" t="s">
        <v>3779</v>
      </c>
      <c r="I18" s="392" t="s">
        <v>3780</v>
      </c>
      <c r="J18" s="391" t="s">
        <v>3781</v>
      </c>
      <c r="K18" s="391" t="s">
        <v>3782</v>
      </c>
      <c r="L18" s="451" t="s">
        <v>502</v>
      </c>
    </row>
    <row r="19" spans="1:12" ht="409.5">
      <c r="A19" s="455" t="s">
        <v>3783</v>
      </c>
      <c r="B19" s="456" t="s">
        <v>3784</v>
      </c>
      <c r="C19" s="458" t="s">
        <v>3782</v>
      </c>
      <c r="D19" s="457" t="s">
        <v>3761</v>
      </c>
      <c r="E19" s="458" t="s">
        <v>3785</v>
      </c>
      <c r="F19" s="456" t="s">
        <v>3786</v>
      </c>
      <c r="G19" s="456"/>
      <c r="H19" s="457"/>
      <c r="I19" s="457"/>
      <c r="J19" s="458"/>
      <c r="K19" s="458" t="s">
        <v>3787</v>
      </c>
      <c r="L19" s="459" t="s">
        <v>502</v>
      </c>
    </row>
    <row r="20" spans="1:12" ht="9.9499999999999993" customHeight="1"/>
    <row r="21" spans="1:12" ht="27.95" customHeight="1">
      <c r="A21" s="384" t="s">
        <v>3788</v>
      </c>
      <c r="B21" s="384"/>
      <c r="C21" s="384"/>
      <c r="D21" s="384"/>
      <c r="E21" s="384"/>
      <c r="F21" s="384"/>
      <c r="G21" s="384"/>
      <c r="H21" s="384"/>
      <c r="I21" s="384"/>
      <c r="J21" s="384"/>
      <c r="K21" s="384"/>
      <c r="L21" s="384"/>
    </row>
    <row r="22" spans="1:12" ht="30" customHeight="1">
      <c r="A22" s="386" t="s">
        <v>3789</v>
      </c>
      <c r="B22" s="387" t="s">
        <v>3790</v>
      </c>
      <c r="C22" s="387" t="s">
        <v>79</v>
      </c>
      <c r="D22" s="387" t="s">
        <v>1989</v>
      </c>
      <c r="E22" s="387" t="s">
        <v>17</v>
      </c>
      <c r="F22" s="387" t="s">
        <v>275</v>
      </c>
      <c r="G22" s="387" t="s">
        <v>277</v>
      </c>
      <c r="H22" s="387" t="s">
        <v>276</v>
      </c>
      <c r="I22" s="387" t="s">
        <v>3791</v>
      </c>
      <c r="J22" s="387" t="s">
        <v>3792</v>
      </c>
      <c r="K22" s="387" t="s">
        <v>2702</v>
      </c>
      <c r="L22" s="388" t="s">
        <v>1682</v>
      </c>
    </row>
    <row r="23" spans="1:12" ht="267.75">
      <c r="A23" s="389" t="s">
        <v>291</v>
      </c>
      <c r="B23" s="450" t="s">
        <v>292</v>
      </c>
      <c r="C23" s="392" t="s">
        <v>3793</v>
      </c>
      <c r="D23" s="450" t="s">
        <v>3794</v>
      </c>
      <c r="E23" s="391" t="s">
        <v>68</v>
      </c>
      <c r="F23" s="391" t="s">
        <v>126</v>
      </c>
      <c r="G23" s="391" t="s">
        <v>1691</v>
      </c>
      <c r="H23" s="391" t="str">
        <f ca="1">IF(G23="Closed","",IFERROR(DATEVALUE(F23)-TODAY(),""))</f>
        <v/>
      </c>
      <c r="I23" s="392" t="s">
        <v>3795</v>
      </c>
      <c r="J23" s="392" t="s">
        <v>3796</v>
      </c>
      <c r="K23" s="391" t="s">
        <v>674</v>
      </c>
      <c r="L23" s="451" t="s">
        <v>1524</v>
      </c>
    </row>
    <row r="24" spans="1:12" ht="216.75">
      <c r="A24" s="394" t="s">
        <v>3797</v>
      </c>
      <c r="B24" s="452" t="s">
        <v>3798</v>
      </c>
      <c r="C24" s="397" t="s">
        <v>3799</v>
      </c>
      <c r="D24" s="452" t="s">
        <v>3800</v>
      </c>
      <c r="E24" s="396" t="s">
        <v>24</v>
      </c>
      <c r="F24" s="396" t="s">
        <v>126</v>
      </c>
      <c r="G24" s="396" t="s">
        <v>1108</v>
      </c>
      <c r="H24" s="396">
        <f ca="1">IF(G24="Closed","",IFERROR(DATEVALUE(F24)-TODAY(),""))</f>
        <v>-37</v>
      </c>
      <c r="I24" s="397" t="s">
        <v>3801</v>
      </c>
      <c r="J24" s="397" t="s">
        <v>3731</v>
      </c>
      <c r="K24" s="396" t="s">
        <v>2208</v>
      </c>
      <c r="L24" s="453" t="s">
        <v>1524</v>
      </c>
    </row>
    <row r="25" spans="1:12" ht="267.75">
      <c r="A25" s="389" t="s">
        <v>3802</v>
      </c>
      <c r="B25" s="450" t="s">
        <v>3803</v>
      </c>
      <c r="C25" s="392" t="s">
        <v>3804</v>
      </c>
      <c r="D25" s="450" t="s">
        <v>3805</v>
      </c>
      <c r="E25" s="391" t="s">
        <v>269</v>
      </c>
      <c r="F25" s="391" t="s">
        <v>2773</v>
      </c>
      <c r="G25" s="391" t="s">
        <v>1691</v>
      </c>
      <c r="H25" s="391" t="str">
        <f ca="1">IF(G25="Closed","",IFERROR(DATEVALUE(F25)-TODAY(),""))</f>
        <v/>
      </c>
      <c r="I25" s="392" t="s">
        <v>3795</v>
      </c>
      <c r="J25" s="392" t="s">
        <v>1060</v>
      </c>
      <c r="K25" s="391" t="s">
        <v>2235</v>
      </c>
      <c r="L25" s="451" t="s">
        <v>1524</v>
      </c>
    </row>
    <row r="26" spans="1:12" ht="153">
      <c r="A26" s="394" t="s">
        <v>295</v>
      </c>
      <c r="B26" s="452" t="s">
        <v>296</v>
      </c>
      <c r="C26" s="397" t="s">
        <v>3806</v>
      </c>
      <c r="D26" s="452" t="s">
        <v>3807</v>
      </c>
      <c r="E26" s="396" t="s">
        <v>173</v>
      </c>
      <c r="F26" s="396" t="s">
        <v>132</v>
      </c>
      <c r="G26" s="396" t="s">
        <v>1108</v>
      </c>
      <c r="H26" s="396">
        <f ca="1">IF(G26="Closed","",IFERROR(DATEVALUE(F26)-TODAY(),""))</f>
        <v>55</v>
      </c>
      <c r="I26" s="397" t="s">
        <v>3801</v>
      </c>
      <c r="J26" s="397" t="s">
        <v>1147</v>
      </c>
      <c r="K26" s="396" t="s">
        <v>2150</v>
      </c>
      <c r="L26" s="453" t="s">
        <v>1524</v>
      </c>
    </row>
    <row r="27" spans="1:12" ht="153">
      <c r="A27" s="389" t="s">
        <v>297</v>
      </c>
      <c r="B27" s="450" t="s">
        <v>3808</v>
      </c>
      <c r="C27" s="392" t="s">
        <v>3809</v>
      </c>
      <c r="D27" s="450" t="s">
        <v>3810</v>
      </c>
      <c r="E27" s="391" t="s">
        <v>299</v>
      </c>
      <c r="F27" s="391" t="s">
        <v>132</v>
      </c>
      <c r="G27" s="391" t="s">
        <v>1108</v>
      </c>
      <c r="H27" s="391">
        <f ca="1">IF(G27="Closed","",IFERROR(DATEVALUE(F27)-TODAY(),""))</f>
        <v>55</v>
      </c>
      <c r="I27" s="392" t="s">
        <v>3811</v>
      </c>
      <c r="J27" s="392" t="s">
        <v>1298</v>
      </c>
      <c r="K27" s="391" t="s">
        <v>674</v>
      </c>
      <c r="L27" s="451" t="s">
        <v>1731</v>
      </c>
    </row>
    <row r="28" spans="1:12" ht="267.75">
      <c r="A28" s="394" t="s">
        <v>3812</v>
      </c>
      <c r="B28" s="452" t="s">
        <v>3813</v>
      </c>
      <c r="C28" s="397" t="s">
        <v>3814</v>
      </c>
      <c r="D28" s="452" t="s">
        <v>3815</v>
      </c>
      <c r="E28" s="396" t="s">
        <v>68</v>
      </c>
      <c r="F28" s="396" t="s">
        <v>126</v>
      </c>
      <c r="G28" s="396" t="s">
        <v>1691</v>
      </c>
      <c r="H28" s="396" t="str">
        <f ca="1">IF(G28="Closed","",IFERROR(DATEVALUE(F28)-TODAY(),""))</f>
        <v/>
      </c>
      <c r="I28" s="397" t="s">
        <v>3816</v>
      </c>
      <c r="J28" s="397" t="s">
        <v>1130</v>
      </c>
      <c r="K28" s="396" t="s">
        <v>2127</v>
      </c>
      <c r="L28" s="453" t="s">
        <v>1731</v>
      </c>
    </row>
    <row r="29" spans="1:12" ht="267.75">
      <c r="A29" s="389" t="s">
        <v>3741</v>
      </c>
      <c r="B29" s="450" t="s">
        <v>3817</v>
      </c>
      <c r="C29" s="392" t="s">
        <v>3818</v>
      </c>
      <c r="D29" s="450" t="s">
        <v>3819</v>
      </c>
      <c r="E29" s="391" t="s">
        <v>173</v>
      </c>
      <c r="F29" s="391" t="s">
        <v>2773</v>
      </c>
      <c r="G29" s="391" t="s">
        <v>1691</v>
      </c>
      <c r="H29" s="391" t="str">
        <f ca="1">IF(G29="Closed","",IFERROR(DATEVALUE(F29)-TODAY(),""))</f>
        <v/>
      </c>
      <c r="I29" s="392" t="s">
        <v>3816</v>
      </c>
      <c r="J29" s="392" t="s">
        <v>3820</v>
      </c>
      <c r="K29" s="391" t="s">
        <v>2227</v>
      </c>
      <c r="L29" s="451" t="s">
        <v>1524</v>
      </c>
    </row>
    <row r="30" spans="1:12" ht="165.75">
      <c r="A30" s="394" t="s">
        <v>293</v>
      </c>
      <c r="B30" s="452" t="s">
        <v>294</v>
      </c>
      <c r="C30" s="397" t="s">
        <v>3821</v>
      </c>
      <c r="D30" s="452" t="s">
        <v>3822</v>
      </c>
      <c r="E30" s="396" t="s">
        <v>150</v>
      </c>
      <c r="F30" s="396" t="s">
        <v>126</v>
      </c>
      <c r="G30" s="396" t="s">
        <v>1691</v>
      </c>
      <c r="H30" s="396" t="str">
        <f ca="1">IF(G30="Closed","",IFERROR(DATEVALUE(F30)-TODAY(),""))</f>
        <v/>
      </c>
      <c r="I30" s="397" t="s">
        <v>3801</v>
      </c>
      <c r="J30" s="397" t="s">
        <v>1229</v>
      </c>
      <c r="K30" s="396" t="s">
        <v>2197</v>
      </c>
      <c r="L30" s="453" t="s">
        <v>1493</v>
      </c>
    </row>
    <row r="31" spans="1:12" ht="191.25">
      <c r="A31" s="389" t="s">
        <v>282</v>
      </c>
      <c r="B31" s="450" t="s">
        <v>283</v>
      </c>
      <c r="C31" s="392" t="s">
        <v>3823</v>
      </c>
      <c r="D31" s="450" t="s">
        <v>3824</v>
      </c>
      <c r="E31" s="391" t="s">
        <v>284</v>
      </c>
      <c r="F31" s="391" t="s">
        <v>126</v>
      </c>
      <c r="G31" s="391" t="s">
        <v>1108</v>
      </c>
      <c r="H31" s="391">
        <f ca="1">IF(G31="Closed","",IFERROR(DATEVALUE(F31)-TODAY(),""))</f>
        <v>-37</v>
      </c>
      <c r="I31" s="392" t="s">
        <v>3801</v>
      </c>
      <c r="J31" s="392" t="s">
        <v>3721</v>
      </c>
      <c r="K31" s="391" t="s">
        <v>3825</v>
      </c>
      <c r="L31" s="451" t="s">
        <v>1493</v>
      </c>
    </row>
    <row r="32" spans="1:12" ht="242.25">
      <c r="A32" s="394" t="s">
        <v>278</v>
      </c>
      <c r="B32" s="452" t="s">
        <v>356</v>
      </c>
      <c r="C32" s="397" t="s">
        <v>3826</v>
      </c>
      <c r="D32" s="452" t="s">
        <v>3827</v>
      </c>
      <c r="E32" s="396" t="s">
        <v>262</v>
      </c>
      <c r="F32" s="396" t="s">
        <v>132</v>
      </c>
      <c r="G32" s="396" t="s">
        <v>1108</v>
      </c>
      <c r="H32" s="396">
        <f ca="1">IF(G32="Closed","",IFERROR(DATEVALUE(F32)-TODAY(),""))</f>
        <v>55</v>
      </c>
      <c r="I32" s="397" t="s">
        <v>3811</v>
      </c>
      <c r="J32" s="397" t="s">
        <v>3726</v>
      </c>
      <c r="K32" s="396" t="s">
        <v>3828</v>
      </c>
      <c r="L32" s="453" t="s">
        <v>1493</v>
      </c>
    </row>
    <row r="33" spans="1:12" ht="165.75">
      <c r="A33" s="389" t="s">
        <v>280</v>
      </c>
      <c r="B33" s="450" t="s">
        <v>357</v>
      </c>
      <c r="C33" s="392" t="s">
        <v>3829</v>
      </c>
      <c r="D33" s="450" t="s">
        <v>3830</v>
      </c>
      <c r="E33" s="391" t="s">
        <v>24</v>
      </c>
      <c r="F33" s="391" t="s">
        <v>132</v>
      </c>
      <c r="G33" s="391" t="s">
        <v>1108</v>
      </c>
      <c r="H33" s="391">
        <f ca="1">IF(G33="Closed","",IFERROR(DATEVALUE(F33)-TODAY(),""))</f>
        <v>55</v>
      </c>
      <c r="I33" s="392" t="s">
        <v>3811</v>
      </c>
      <c r="J33" s="392" t="s">
        <v>3731</v>
      </c>
      <c r="K33" s="391" t="s">
        <v>3831</v>
      </c>
      <c r="L33" s="451" t="s">
        <v>1493</v>
      </c>
    </row>
    <row r="34" spans="1:12" ht="153">
      <c r="A34" s="394" t="s">
        <v>285</v>
      </c>
      <c r="B34" s="452" t="s">
        <v>3832</v>
      </c>
      <c r="C34" s="397" t="s">
        <v>3775</v>
      </c>
      <c r="D34" s="452" t="s">
        <v>3833</v>
      </c>
      <c r="E34" s="396" t="s">
        <v>24</v>
      </c>
      <c r="F34" s="396" t="s">
        <v>126</v>
      </c>
      <c r="G34" s="396" t="s">
        <v>1108</v>
      </c>
      <c r="H34" s="396">
        <f ca="1">IF(G34="Closed","",IFERROR(DATEVALUE(F34)-TODAY(),""))</f>
        <v>-37</v>
      </c>
      <c r="I34" s="397" t="s">
        <v>3801</v>
      </c>
      <c r="J34" s="397" t="s">
        <v>3775</v>
      </c>
      <c r="K34" s="396" t="s">
        <v>2208</v>
      </c>
      <c r="L34" s="453" t="s">
        <v>1524</v>
      </c>
    </row>
    <row r="35" spans="1:12" ht="165.75">
      <c r="A35" s="389" t="s">
        <v>289</v>
      </c>
      <c r="B35" s="450" t="s">
        <v>290</v>
      </c>
      <c r="C35" s="392" t="s">
        <v>3834</v>
      </c>
      <c r="D35" s="450" t="s">
        <v>3835</v>
      </c>
      <c r="E35" s="391" t="s">
        <v>173</v>
      </c>
      <c r="F35" s="391" t="s">
        <v>126</v>
      </c>
      <c r="G35" s="391" t="s">
        <v>1108</v>
      </c>
      <c r="H35" s="391">
        <f ca="1">IF(G35="Closed","",IFERROR(DATEVALUE(F35)-TODAY(),""))</f>
        <v>-37</v>
      </c>
      <c r="I35" s="392" t="s">
        <v>3801</v>
      </c>
      <c r="J35" s="392" t="s">
        <v>1228</v>
      </c>
      <c r="K35" s="391" t="s">
        <v>2252</v>
      </c>
      <c r="L35" s="451" t="s">
        <v>1524</v>
      </c>
    </row>
    <row r="36" spans="1:12" ht="204">
      <c r="A36" s="455" t="s">
        <v>287</v>
      </c>
      <c r="B36" s="456" t="s">
        <v>3836</v>
      </c>
      <c r="C36" s="457" t="s">
        <v>3837</v>
      </c>
      <c r="D36" s="456" t="s">
        <v>3838</v>
      </c>
      <c r="E36" s="458" t="s">
        <v>181</v>
      </c>
      <c r="F36" s="458" t="s">
        <v>132</v>
      </c>
      <c r="G36" s="458" t="s">
        <v>1108</v>
      </c>
      <c r="H36" s="458">
        <f ca="1">IF(G36="Closed","",IFERROR(DATEVALUE(F36)-TODAY(),""))</f>
        <v>55</v>
      </c>
      <c r="I36" s="457" t="s">
        <v>3811</v>
      </c>
      <c r="J36" s="457" t="s">
        <v>3721</v>
      </c>
      <c r="K36" s="458" t="s">
        <v>3839</v>
      </c>
      <c r="L36" s="459" t="s">
        <v>1493</v>
      </c>
    </row>
    <row r="37" spans="1:12" ht="9.9499999999999993" customHeight="1"/>
    <row r="38" spans="1:12" ht="27.95" customHeight="1">
      <c r="A38" s="384" t="s">
        <v>3840</v>
      </c>
      <c r="B38" s="384"/>
      <c r="C38" s="384"/>
      <c r="D38" s="384"/>
      <c r="E38" s="384"/>
      <c r="F38" s="384"/>
      <c r="G38" s="384"/>
      <c r="H38" s="384"/>
      <c r="I38" s="384"/>
      <c r="J38" s="384"/>
      <c r="K38" s="384"/>
      <c r="L38" s="384"/>
    </row>
    <row r="39" spans="1:12" ht="30" customHeight="1">
      <c r="A39" s="386" t="s">
        <v>3841</v>
      </c>
      <c r="B39" s="387" t="s">
        <v>3281</v>
      </c>
      <c r="C39" s="387" t="s">
        <v>523</v>
      </c>
      <c r="D39" s="387" t="s">
        <v>1986</v>
      </c>
      <c r="E39" s="387" t="s">
        <v>3842</v>
      </c>
      <c r="F39" s="387" t="s">
        <v>3843</v>
      </c>
      <c r="G39" s="387" t="s">
        <v>3844</v>
      </c>
      <c r="H39" s="387" t="s">
        <v>3845</v>
      </c>
      <c r="I39" s="387" t="s">
        <v>2086</v>
      </c>
      <c r="J39" s="387" t="s">
        <v>3846</v>
      </c>
      <c r="K39" s="387" t="s">
        <v>3720</v>
      </c>
      <c r="L39" s="388" t="s">
        <v>1040</v>
      </c>
    </row>
    <row r="40" spans="1:12" ht="382.5">
      <c r="A40" s="389" t="s">
        <v>2006</v>
      </c>
      <c r="B40" s="450" t="s">
        <v>3847</v>
      </c>
      <c r="C40" s="391" t="s">
        <v>1997</v>
      </c>
      <c r="D40" s="391" t="s">
        <v>1998</v>
      </c>
      <c r="E40" s="450" t="s">
        <v>3848</v>
      </c>
      <c r="F40" s="450" t="s">
        <v>3849</v>
      </c>
      <c r="G40" s="391" t="s">
        <v>3774</v>
      </c>
      <c r="H40" s="391" t="s">
        <v>3850</v>
      </c>
      <c r="I40" s="392" t="s">
        <v>3851</v>
      </c>
      <c r="J40" s="391" t="s">
        <v>68</v>
      </c>
      <c r="K40" s="391" t="s">
        <v>291</v>
      </c>
      <c r="L40" s="451" t="s">
        <v>943</v>
      </c>
    </row>
    <row r="41" spans="1:12" ht="306">
      <c r="A41" s="394" t="s">
        <v>2017</v>
      </c>
      <c r="B41" s="452" t="s">
        <v>3852</v>
      </c>
      <c r="C41" s="396" t="s">
        <v>2008</v>
      </c>
      <c r="D41" s="396" t="s">
        <v>2009</v>
      </c>
      <c r="E41" s="452" t="s">
        <v>3853</v>
      </c>
      <c r="F41" s="452" t="s">
        <v>3854</v>
      </c>
      <c r="G41" s="396" t="s">
        <v>3774</v>
      </c>
      <c r="H41" s="396" t="s">
        <v>3850</v>
      </c>
      <c r="I41" s="397" t="s">
        <v>3851</v>
      </c>
      <c r="J41" s="396" t="s">
        <v>269</v>
      </c>
      <c r="K41" s="396" t="s">
        <v>3802</v>
      </c>
      <c r="L41" s="453" t="s">
        <v>943</v>
      </c>
    </row>
    <row r="42" spans="1:12" ht="409.5">
      <c r="A42" s="389" t="s">
        <v>2027</v>
      </c>
      <c r="B42" s="450" t="s">
        <v>3855</v>
      </c>
      <c r="C42" s="391" t="s">
        <v>2008</v>
      </c>
      <c r="D42" s="391" t="s">
        <v>1998</v>
      </c>
      <c r="E42" s="450" t="s">
        <v>3856</v>
      </c>
      <c r="F42" s="450" t="s">
        <v>3857</v>
      </c>
      <c r="G42" s="391" t="s">
        <v>3774</v>
      </c>
      <c r="H42" s="391" t="s">
        <v>3850</v>
      </c>
      <c r="I42" s="392" t="s">
        <v>3851</v>
      </c>
      <c r="J42" s="391" t="s">
        <v>150</v>
      </c>
      <c r="K42" s="391"/>
      <c r="L42" s="451" t="s">
        <v>943</v>
      </c>
    </row>
    <row r="43" spans="1:12" ht="318.75">
      <c r="A43" s="394" t="s">
        <v>2036</v>
      </c>
      <c r="B43" s="452" t="s">
        <v>3858</v>
      </c>
      <c r="C43" s="396" t="s">
        <v>2028</v>
      </c>
      <c r="D43" s="396" t="s">
        <v>2009</v>
      </c>
      <c r="E43" s="452" t="s">
        <v>3859</v>
      </c>
      <c r="F43" s="452" t="s">
        <v>3860</v>
      </c>
      <c r="G43" s="396" t="s">
        <v>3782</v>
      </c>
      <c r="H43" s="396" t="s">
        <v>3861</v>
      </c>
      <c r="I43" s="397" t="s">
        <v>3862</v>
      </c>
      <c r="J43" s="396" t="s">
        <v>173</v>
      </c>
      <c r="K43" s="396" t="s">
        <v>295</v>
      </c>
      <c r="L43" s="453" t="s">
        <v>3783</v>
      </c>
    </row>
    <row r="44" spans="1:12" ht="357">
      <c r="A44" s="389" t="s">
        <v>2045</v>
      </c>
      <c r="B44" s="450" t="s">
        <v>3863</v>
      </c>
      <c r="C44" s="391" t="s">
        <v>2037</v>
      </c>
      <c r="D44" s="391" t="s">
        <v>1998</v>
      </c>
      <c r="E44" s="450" t="s">
        <v>3864</v>
      </c>
      <c r="F44" s="450" t="s">
        <v>3865</v>
      </c>
      <c r="G44" s="391" t="s">
        <v>3782</v>
      </c>
      <c r="H44" s="391" t="s">
        <v>3861</v>
      </c>
      <c r="I44" s="392" t="s">
        <v>3866</v>
      </c>
      <c r="J44" s="391" t="s">
        <v>299</v>
      </c>
      <c r="K44" s="391" t="s">
        <v>297</v>
      </c>
      <c r="L44" s="451" t="s">
        <v>3783</v>
      </c>
    </row>
    <row r="45" spans="1:12" ht="242.25">
      <c r="A45" s="394" t="s">
        <v>2053</v>
      </c>
      <c r="B45" s="452" t="s">
        <v>3867</v>
      </c>
      <c r="C45" s="396" t="s">
        <v>2008</v>
      </c>
      <c r="D45" s="396" t="s">
        <v>2009</v>
      </c>
      <c r="E45" s="452" t="s">
        <v>3868</v>
      </c>
      <c r="F45" s="452" t="s">
        <v>3869</v>
      </c>
      <c r="G45" s="396" t="s">
        <v>3774</v>
      </c>
      <c r="H45" s="396" t="s">
        <v>3850</v>
      </c>
      <c r="I45" s="397" t="s">
        <v>3851</v>
      </c>
      <c r="J45" s="396" t="s">
        <v>68</v>
      </c>
      <c r="K45" s="396" t="s">
        <v>3812</v>
      </c>
      <c r="L45" s="453" t="s">
        <v>943</v>
      </c>
    </row>
    <row r="46" spans="1:12" ht="382.5">
      <c r="A46" s="389" t="s">
        <v>2062</v>
      </c>
      <c r="B46" s="450" t="s">
        <v>3870</v>
      </c>
      <c r="C46" s="391" t="s">
        <v>2054</v>
      </c>
      <c r="D46" s="391" t="s">
        <v>1998</v>
      </c>
      <c r="E46" s="450" t="s">
        <v>3817</v>
      </c>
      <c r="F46" s="450" t="s">
        <v>3871</v>
      </c>
      <c r="G46" s="391" t="s">
        <v>3774</v>
      </c>
      <c r="H46" s="391" t="s">
        <v>3850</v>
      </c>
      <c r="I46" s="392" t="s">
        <v>3851</v>
      </c>
      <c r="J46" s="391" t="s">
        <v>173</v>
      </c>
      <c r="K46" s="391" t="s">
        <v>3741</v>
      </c>
      <c r="L46" s="451" t="s">
        <v>943</v>
      </c>
    </row>
    <row r="47" spans="1:12" ht="369.75">
      <c r="A47" s="455" t="s">
        <v>2071</v>
      </c>
      <c r="B47" s="456" t="s">
        <v>3872</v>
      </c>
      <c r="C47" s="458" t="s">
        <v>2008</v>
      </c>
      <c r="D47" s="458" t="s">
        <v>2009</v>
      </c>
      <c r="E47" s="456" t="s">
        <v>3873</v>
      </c>
      <c r="F47" s="456" t="s">
        <v>3874</v>
      </c>
      <c r="G47" s="458" t="s">
        <v>3782</v>
      </c>
      <c r="H47" s="458" t="s">
        <v>3861</v>
      </c>
      <c r="I47" s="457" t="s">
        <v>3875</v>
      </c>
      <c r="J47" s="458" t="s">
        <v>150</v>
      </c>
      <c r="K47" s="458" t="s">
        <v>293</v>
      </c>
      <c r="L47" s="459" t="s">
        <v>3783</v>
      </c>
    </row>
    <row r="48" spans="1:12" ht="9.9499999999999993" customHeight="1"/>
    <row r="49" spans="1:12" ht="27.95" customHeight="1">
      <c r="A49" s="384" t="s">
        <v>3876</v>
      </c>
      <c r="B49" s="384"/>
      <c r="C49" s="384"/>
      <c r="D49" s="384"/>
      <c r="E49" s="384"/>
      <c r="F49" s="384"/>
      <c r="G49" s="384"/>
      <c r="H49" s="384"/>
      <c r="I49" s="384"/>
      <c r="J49" s="384"/>
      <c r="K49" s="384"/>
      <c r="L49" s="384"/>
    </row>
    <row r="50" spans="1:12" ht="30" customHeight="1">
      <c r="A50" s="386" t="s">
        <v>3877</v>
      </c>
      <c r="B50" s="387" t="s">
        <v>3878</v>
      </c>
      <c r="C50" s="387" t="s">
        <v>79</v>
      </c>
      <c r="D50" s="387" t="s">
        <v>523</v>
      </c>
      <c r="E50" s="387" t="s">
        <v>17</v>
      </c>
      <c r="F50" s="387" t="s">
        <v>275</v>
      </c>
      <c r="G50" s="387" t="s">
        <v>277</v>
      </c>
      <c r="H50" s="387" t="s">
        <v>3879</v>
      </c>
      <c r="I50" s="387" t="s">
        <v>526</v>
      </c>
      <c r="J50" s="387" t="s">
        <v>1682</v>
      </c>
      <c r="K50" s="387" t="s">
        <v>3880</v>
      </c>
      <c r="L50" s="388" t="s">
        <v>78</v>
      </c>
    </row>
    <row r="51" spans="1:12" ht="369.75">
      <c r="A51" s="389" t="s">
        <v>3881</v>
      </c>
      <c r="B51" s="450" t="s">
        <v>3882</v>
      </c>
      <c r="C51" s="391" t="s">
        <v>3767</v>
      </c>
      <c r="D51" s="391" t="s">
        <v>3883</v>
      </c>
      <c r="E51" s="391" t="s">
        <v>173</v>
      </c>
      <c r="F51" s="391" t="s">
        <v>1943</v>
      </c>
      <c r="G51" s="391" t="s">
        <v>1108</v>
      </c>
      <c r="H51" s="450" t="s">
        <v>3884</v>
      </c>
      <c r="I51" s="391" t="s">
        <v>536</v>
      </c>
      <c r="J51" s="391" t="s">
        <v>1524</v>
      </c>
      <c r="K51" s="391" t="s">
        <v>3885</v>
      </c>
      <c r="L51" s="460" t="s">
        <v>3886</v>
      </c>
    </row>
    <row r="52" spans="1:12" ht="306">
      <c r="A52" s="394" t="s">
        <v>3887</v>
      </c>
      <c r="B52" s="452" t="s">
        <v>3888</v>
      </c>
      <c r="C52" s="396" t="s">
        <v>3775</v>
      </c>
      <c r="D52" s="396" t="s">
        <v>750</v>
      </c>
      <c r="E52" s="396" t="s">
        <v>24</v>
      </c>
      <c r="F52" s="396" t="s">
        <v>132</v>
      </c>
      <c r="G52" s="396" t="s">
        <v>1108</v>
      </c>
      <c r="H52" s="452" t="s">
        <v>3889</v>
      </c>
      <c r="I52" s="396" t="s">
        <v>530</v>
      </c>
      <c r="J52" s="396" t="s">
        <v>1524</v>
      </c>
      <c r="K52" s="396" t="s">
        <v>3885</v>
      </c>
      <c r="L52" s="461" t="s">
        <v>3890</v>
      </c>
    </row>
    <row r="53" spans="1:12" ht="344.25">
      <c r="A53" s="389" t="s">
        <v>3891</v>
      </c>
      <c r="B53" s="450" t="s">
        <v>3892</v>
      </c>
      <c r="C53" s="391" t="s">
        <v>3775</v>
      </c>
      <c r="D53" s="391" t="s">
        <v>3893</v>
      </c>
      <c r="E53" s="391" t="s">
        <v>150</v>
      </c>
      <c r="F53" s="391" t="s">
        <v>1895</v>
      </c>
      <c r="G53" s="391" t="s">
        <v>3194</v>
      </c>
      <c r="H53" s="450" t="s">
        <v>3894</v>
      </c>
      <c r="I53" s="391" t="s">
        <v>543</v>
      </c>
      <c r="J53" s="391" t="s">
        <v>1524</v>
      </c>
      <c r="K53" s="391" t="s">
        <v>3885</v>
      </c>
      <c r="L53" s="460" t="s">
        <v>3895</v>
      </c>
    </row>
    <row r="54" spans="1:12" ht="409.5">
      <c r="A54" s="394" t="s">
        <v>3896</v>
      </c>
      <c r="B54" s="452" t="s">
        <v>3897</v>
      </c>
      <c r="C54" s="396" t="s">
        <v>3775</v>
      </c>
      <c r="D54" s="396" t="s">
        <v>3898</v>
      </c>
      <c r="E54" s="396" t="s">
        <v>37</v>
      </c>
      <c r="F54" s="396" t="s">
        <v>3017</v>
      </c>
      <c r="G54" s="396" t="s">
        <v>3032</v>
      </c>
      <c r="H54" s="452" t="s">
        <v>3899</v>
      </c>
      <c r="I54" s="396" t="s">
        <v>638</v>
      </c>
      <c r="J54" s="396" t="s">
        <v>1493</v>
      </c>
      <c r="K54" s="396" t="s">
        <v>1357</v>
      </c>
      <c r="L54" s="461" t="s">
        <v>3900</v>
      </c>
    </row>
    <row r="55" spans="1:12" ht="409.5">
      <c r="A55" s="389" t="s">
        <v>3901</v>
      </c>
      <c r="B55" s="450" t="s">
        <v>3902</v>
      </c>
      <c r="C55" s="391" t="s">
        <v>3775</v>
      </c>
      <c r="D55" s="391" t="s">
        <v>704</v>
      </c>
      <c r="E55" s="391" t="s">
        <v>24</v>
      </c>
      <c r="F55" s="391" t="s">
        <v>1895</v>
      </c>
      <c r="G55" s="391" t="s">
        <v>3032</v>
      </c>
      <c r="H55" s="450" t="s">
        <v>3903</v>
      </c>
      <c r="I55" s="391" t="s">
        <v>3061</v>
      </c>
      <c r="J55" s="391" t="s">
        <v>1524</v>
      </c>
      <c r="K55" s="391" t="s">
        <v>136</v>
      </c>
      <c r="L55" s="460" t="s">
        <v>3904</v>
      </c>
    </row>
    <row r="56" spans="1:12" ht="357">
      <c r="A56" s="394" t="s">
        <v>3905</v>
      </c>
      <c r="B56" s="452" t="s">
        <v>3906</v>
      </c>
      <c r="C56" s="396" t="s">
        <v>3907</v>
      </c>
      <c r="D56" s="396" t="s">
        <v>3908</v>
      </c>
      <c r="E56" s="396" t="s">
        <v>68</v>
      </c>
      <c r="F56" s="396" t="s">
        <v>1943</v>
      </c>
      <c r="G56" s="396" t="s">
        <v>1108</v>
      </c>
      <c r="H56" s="452" t="s">
        <v>3909</v>
      </c>
      <c r="I56" s="396" t="s">
        <v>1131</v>
      </c>
      <c r="J56" s="396" t="s">
        <v>1524</v>
      </c>
      <c r="K56" s="396" t="s">
        <v>3885</v>
      </c>
      <c r="L56" s="461" t="s">
        <v>3910</v>
      </c>
    </row>
    <row r="57" spans="1:12" ht="409.5">
      <c r="A57" s="389" t="s">
        <v>3911</v>
      </c>
      <c r="B57" s="450" t="s">
        <v>3912</v>
      </c>
      <c r="C57" s="391" t="s">
        <v>3913</v>
      </c>
      <c r="D57" s="391" t="s">
        <v>3914</v>
      </c>
      <c r="E57" s="391" t="s">
        <v>150</v>
      </c>
      <c r="F57" s="391" t="s">
        <v>132</v>
      </c>
      <c r="G57" s="391" t="s">
        <v>1108</v>
      </c>
      <c r="H57" s="450" t="s">
        <v>3915</v>
      </c>
      <c r="I57" s="391" t="s">
        <v>543</v>
      </c>
      <c r="J57" s="391" t="s">
        <v>1493</v>
      </c>
      <c r="K57" s="391" t="s">
        <v>3885</v>
      </c>
      <c r="L57" s="460" t="s">
        <v>3916</v>
      </c>
    </row>
    <row r="58" spans="1:12" ht="409.5">
      <c r="A58" s="455" t="s">
        <v>3917</v>
      </c>
      <c r="B58" s="456" t="s">
        <v>3918</v>
      </c>
      <c r="C58" s="458" t="s">
        <v>3919</v>
      </c>
      <c r="D58" s="458" t="s">
        <v>704</v>
      </c>
      <c r="E58" s="458" t="s">
        <v>37</v>
      </c>
      <c r="F58" s="458" t="s">
        <v>132</v>
      </c>
      <c r="G58" s="458" t="s">
        <v>1108</v>
      </c>
      <c r="H58" s="456" t="s">
        <v>3920</v>
      </c>
      <c r="I58" s="458" t="s">
        <v>638</v>
      </c>
      <c r="J58" s="458" t="s">
        <v>1493</v>
      </c>
      <c r="K58" s="458" t="s">
        <v>3921</v>
      </c>
      <c r="L58" s="462" t="s">
        <v>3922</v>
      </c>
    </row>
    <row r="59" spans="1:12" ht="9.9499999999999993" customHeight="1"/>
    <row r="60" spans="1:12" ht="27.95" customHeight="1">
      <c r="A60" s="384" t="s">
        <v>3923</v>
      </c>
      <c r="B60" s="384"/>
      <c r="C60" s="384"/>
      <c r="D60" s="384"/>
      <c r="E60" s="384"/>
      <c r="F60" s="384"/>
      <c r="G60" s="384"/>
      <c r="H60" s="384"/>
      <c r="I60" s="384"/>
      <c r="J60" s="384"/>
      <c r="K60" s="384"/>
      <c r="L60" s="384"/>
    </row>
    <row r="61" spans="1:12" ht="20.100000000000001" customHeight="1">
      <c r="A61" s="257" t="s">
        <v>3924</v>
      </c>
      <c r="B61" s="258"/>
      <c r="C61" s="257" t="s">
        <v>3925</v>
      </c>
      <c r="D61" s="258"/>
      <c r="E61" s="257" t="s">
        <v>3926</v>
      </c>
      <c r="F61" s="258"/>
      <c r="G61" s="257" t="s">
        <v>3927</v>
      </c>
      <c r="H61" s="258"/>
      <c r="I61" s="257" t="s">
        <v>3928</v>
      </c>
      <c r="J61" s="258"/>
      <c r="K61" s="257" t="s">
        <v>3929</v>
      </c>
      <c r="L61" s="259"/>
    </row>
    <row r="62" spans="1:12" ht="38.1" customHeight="1">
      <c r="A62" s="404">
        <f>COUNTA(A7:A12)</f>
        <v>6</v>
      </c>
      <c r="B62" s="406"/>
      <c r="C62" s="404">
        <f>COUNTIF(E7:E12,"Closed")</f>
        <v>4</v>
      </c>
      <c r="D62" s="406"/>
      <c r="E62" s="404">
        <f>COUNTIF(G23:G36,"In Progress")</f>
        <v>9</v>
      </c>
      <c r="F62" s="406"/>
      <c r="G62" s="404">
        <f ca="1">COUNTIF(H23:H36,"&lt;0")</f>
        <v>4</v>
      </c>
      <c r="H62" s="406"/>
      <c r="I62" s="404">
        <f>COUNTIF(H40:H47,"Effective")</f>
        <v>5</v>
      </c>
      <c r="J62" s="406"/>
      <c r="K62" s="404">
        <f>COUNTIF(H40:H47,"Pending")</f>
        <v>3</v>
      </c>
      <c r="L62" s="405"/>
    </row>
    <row r="63" spans="1:12" ht="18" customHeight="1">
      <c r="A63" s="301" t="s">
        <v>3930</v>
      </c>
      <c r="B63" s="302"/>
      <c r="C63" s="301" t="s">
        <v>3931</v>
      </c>
      <c r="D63" s="302"/>
      <c r="E63" s="301" t="s">
        <v>3932</v>
      </c>
      <c r="F63" s="302"/>
      <c r="G63" s="301" t="s">
        <v>3933</v>
      </c>
      <c r="H63" s="302"/>
      <c r="I63" s="301" t="s">
        <v>3934</v>
      </c>
      <c r="J63" s="302"/>
      <c r="K63" s="301" t="s">
        <v>3935</v>
      </c>
      <c r="L63" s="303"/>
    </row>
    <row r="64" spans="1:12" ht="9.9499999999999993" customHeight="1"/>
    <row r="65" spans="1:12" ht="27.95" customHeight="1">
      <c r="A65" s="448" t="s">
        <v>3936</v>
      </c>
      <c r="B65" s="448"/>
      <c r="C65" s="448"/>
      <c r="D65" s="448"/>
      <c r="E65" s="448"/>
      <c r="F65" s="448"/>
      <c r="G65" s="448"/>
      <c r="H65" s="448"/>
      <c r="I65" s="448"/>
      <c r="J65" s="448"/>
      <c r="K65" s="448"/>
      <c r="L65" s="448"/>
    </row>
  </sheetData>
  <mergeCells count="28">
    <mergeCell ref="A65:L65"/>
    <mergeCell ref="K62:L62"/>
    <mergeCell ref="A63:B63"/>
    <mergeCell ref="C63:D63"/>
    <mergeCell ref="E63:F63"/>
    <mergeCell ref="G63:H63"/>
    <mergeCell ref="I63:J63"/>
    <mergeCell ref="K63:L63"/>
    <mergeCell ref="A62:B62"/>
    <mergeCell ref="C62:D62"/>
    <mergeCell ref="E62:F62"/>
    <mergeCell ref="G62:H62"/>
    <mergeCell ref="I62:J62"/>
    <mergeCell ref="A21:L21"/>
    <mergeCell ref="A38:L38"/>
    <mergeCell ref="A49:L49"/>
    <mergeCell ref="A60:L60"/>
    <mergeCell ref="A61:B61"/>
    <mergeCell ref="C61:D61"/>
    <mergeCell ref="E61:F61"/>
    <mergeCell ref="G61:H61"/>
    <mergeCell ref="I61:J61"/>
    <mergeCell ref="K61:L61"/>
    <mergeCell ref="A1:L1"/>
    <mergeCell ref="A2:L2"/>
    <mergeCell ref="A3:L3"/>
    <mergeCell ref="A5:L5"/>
    <mergeCell ref="A14:L14"/>
  </mergeCells>
  <conditionalFormatting sqref="E7:E12">
    <cfRule type="cellIs" dxfId="31" priority="1" operator="equal">
      <formula>"Closed"</formula>
    </cfRule>
  </conditionalFormatting>
  <conditionalFormatting sqref="E7:E12">
    <cfRule type="cellIs" dxfId="30" priority="2" operator="equal">
      <formula>"In Progress"</formula>
    </cfRule>
  </conditionalFormatting>
  <conditionalFormatting sqref="E7:E12">
    <cfRule type="cellIs" dxfId="29" priority="3" operator="equal">
      <formula>"Planned"</formula>
    </cfRule>
  </conditionalFormatting>
  <conditionalFormatting sqref="E16:E19">
    <cfRule type="cellIs" dxfId="28" priority="4" operator="equal">
      <formula>"Closed"</formula>
    </cfRule>
  </conditionalFormatting>
  <conditionalFormatting sqref="E16:E19">
    <cfRule type="cellIs" dxfId="27" priority="5" operator="equal">
      <formula>"Scheduled"</formula>
    </cfRule>
  </conditionalFormatting>
  <conditionalFormatting sqref="G23:G36">
    <cfRule type="cellIs" dxfId="26" priority="6" operator="equal">
      <formula>"Closed"</formula>
    </cfRule>
  </conditionalFormatting>
  <conditionalFormatting sqref="G23:G36">
    <cfRule type="cellIs" dxfId="25" priority="7" operator="equal">
      <formula>"In Progress"</formula>
    </cfRule>
  </conditionalFormatting>
  <conditionalFormatting sqref="G23:G36">
    <cfRule type="cellIs" dxfId="24" priority="8" operator="equal">
      <formula>"Overdue"</formula>
    </cfRule>
  </conditionalFormatting>
  <conditionalFormatting sqref="H23:H36">
    <cfRule type="cellIs" dxfId="23" priority="9" operator="lessThan">
      <formula>0</formula>
    </cfRule>
  </conditionalFormatting>
  <conditionalFormatting sqref="H23:H36">
    <cfRule type="cellIs" dxfId="22" priority="10" operator="between">
      <formula>0</formula>
      <formula>30</formula>
    </cfRule>
  </conditionalFormatting>
  <conditionalFormatting sqref="H23:H36">
    <cfRule type="cellIs" dxfId="21" priority="11" operator="greaterThan">
      <formula>30</formula>
    </cfRule>
  </conditionalFormatting>
  <conditionalFormatting sqref="L23:L36">
    <cfRule type="cellIs" dxfId="20" priority="12" operator="equal">
      <formula>"High"</formula>
    </cfRule>
  </conditionalFormatting>
  <conditionalFormatting sqref="L23:L36">
    <cfRule type="cellIs" dxfId="19" priority="13" operator="equal">
      <formula>"Medium"</formula>
    </cfRule>
  </conditionalFormatting>
  <conditionalFormatting sqref="L23:L36">
    <cfRule type="cellIs" dxfId="18" priority="14" operator="equal">
      <formula>"Low"</formula>
    </cfRule>
  </conditionalFormatting>
  <conditionalFormatting sqref="H40:H47">
    <cfRule type="cellIs" dxfId="17" priority="15" operator="equal">
      <formula>"Effective"</formula>
    </cfRule>
  </conditionalFormatting>
  <conditionalFormatting sqref="H40:H47">
    <cfRule type="cellIs" dxfId="16" priority="16" operator="equal">
      <formula>"Pending"</formula>
    </cfRule>
  </conditionalFormatting>
  <conditionalFormatting sqref="H40:H47">
    <cfRule type="cellIs" dxfId="15" priority="17" operator="equal">
      <formula>"Ineffective"</formula>
    </cfRule>
  </conditionalFormatting>
  <conditionalFormatting sqref="G51:G58">
    <cfRule type="cellIs" dxfId="14" priority="18" operator="equal">
      <formula>"In Progress"</formula>
    </cfRule>
  </conditionalFormatting>
  <conditionalFormatting sqref="G51:G58">
    <cfRule type="cellIs" dxfId="13" priority="19" operator="equal">
      <formula>"Planned"</formula>
    </cfRule>
  </conditionalFormatting>
  <conditionalFormatting sqref="G51:G58">
    <cfRule type="cellIs" dxfId="12" priority="20" operator="equal">
      <formula>"Not Started"</formula>
    </cfRule>
  </conditionalFormatting>
  <conditionalFormatting sqref="J51:J58">
    <cfRule type="cellIs" dxfId="11" priority="21" operator="equal">
      <formula>"High"</formula>
    </cfRule>
  </conditionalFormatting>
  <conditionalFormatting sqref="J51:J58">
    <cfRule type="cellIs" dxfId="10" priority="22" operator="equal">
      <formula>"Medium"</formula>
    </cfRule>
  </conditionalFormatting>
  <conditionalFormatting sqref="G62">
    <cfRule type="cellIs" dxfId="9" priority="23" operator="equal">
      <formula>0</formula>
    </cfRule>
  </conditionalFormatting>
  <conditionalFormatting sqref="G62">
    <cfRule type="cellIs" dxfId="8" priority="24" operator="between">
      <formula>1</formula>
      <formula>2</formula>
    </cfRule>
  </conditionalFormatting>
  <conditionalFormatting sqref="G62">
    <cfRule type="cellIs" dxfId="7" priority="25" operator="greaterThan">
      <formula>2</formula>
    </cfRule>
  </conditionalFormatting>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2A728-4E3E-25C8-4943-15343297B26A}">
  <dimension ref="A1:Z159"/>
  <sheetViews>
    <sheetView workbookViewId="0">
      <pane ySplit="4" topLeftCell="A145" activePane="bottomLeft" state="frozen"/>
      <selection pane="bottomLeft" activeCell="A2" sqref="A2:L2"/>
    </sheetView>
  </sheetViews>
  <sheetFormatPr defaultColWidth="8.85546875" defaultRowHeight="15" customHeight="1"/>
  <cols>
    <col min="1" max="1" width="26.140625" bestFit="1" customWidth="1"/>
    <col min="2" max="2" width="13.85546875" bestFit="1" customWidth="1"/>
    <col min="3" max="4" width="4.42578125" bestFit="1" customWidth="1"/>
    <col min="5" max="5" width="12.7109375" bestFit="1" customWidth="1"/>
    <col min="6" max="6" width="12.140625" bestFit="1" customWidth="1"/>
    <col min="7" max="7" width="15" bestFit="1" customWidth="1"/>
    <col min="8" max="8" width="11.28515625" bestFit="1" customWidth="1"/>
    <col min="9" max="9" width="8.42578125" bestFit="1" customWidth="1"/>
    <col min="10" max="10" width="12.140625" bestFit="1" customWidth="1"/>
    <col min="11" max="11" width="7.140625" bestFit="1" customWidth="1"/>
    <col min="12" max="12" width="9.42578125" bestFit="1" customWidth="1"/>
  </cols>
  <sheetData>
    <row r="1" spans="1:26" ht="23.25">
      <c r="A1" s="200" t="s">
        <v>186</v>
      </c>
      <c r="B1" s="201"/>
      <c r="C1" s="201"/>
      <c r="D1" s="201"/>
      <c r="E1" s="201"/>
      <c r="F1" s="201"/>
      <c r="G1" s="201"/>
      <c r="H1" s="201"/>
      <c r="I1" s="201"/>
      <c r="J1" s="201"/>
      <c r="K1" s="201"/>
      <c r="L1" s="201"/>
      <c r="M1" s="12"/>
      <c r="N1" s="12"/>
      <c r="O1" s="12"/>
      <c r="P1" s="12"/>
      <c r="Q1" s="12"/>
      <c r="R1" s="12"/>
      <c r="S1" s="12"/>
      <c r="T1" s="12"/>
      <c r="U1" s="12"/>
      <c r="V1" s="12"/>
      <c r="W1" s="12"/>
      <c r="X1" s="12"/>
      <c r="Y1" s="12"/>
      <c r="Z1" s="12"/>
    </row>
    <row r="2" spans="1:26">
      <c r="A2" s="202" t="s">
        <v>187</v>
      </c>
      <c r="B2" s="201"/>
      <c r="C2" s="201"/>
      <c r="D2" s="201"/>
      <c r="E2" s="201"/>
      <c r="F2" s="201"/>
      <c r="G2" s="201"/>
      <c r="H2" s="201"/>
      <c r="I2" s="201"/>
      <c r="J2" s="201"/>
      <c r="K2" s="201"/>
      <c r="L2" s="201"/>
      <c r="M2" s="12"/>
      <c r="N2" s="12"/>
      <c r="O2" s="12"/>
      <c r="P2" s="12"/>
      <c r="Q2" s="12"/>
      <c r="R2" s="12"/>
      <c r="S2" s="12"/>
      <c r="T2" s="12"/>
      <c r="U2" s="12"/>
      <c r="V2" s="12"/>
      <c r="W2" s="12"/>
      <c r="X2" s="12"/>
      <c r="Y2" s="12"/>
      <c r="Z2" s="12"/>
    </row>
    <row r="3" spans="1:26">
      <c r="A3" s="13" t="s">
        <v>188</v>
      </c>
      <c r="B3" s="11" t="s">
        <v>185</v>
      </c>
      <c r="C3" s="12"/>
      <c r="D3" s="12"/>
      <c r="E3" s="12"/>
      <c r="F3" s="12"/>
      <c r="G3" s="12"/>
      <c r="H3" s="12"/>
      <c r="I3" s="12"/>
      <c r="J3" s="12"/>
      <c r="K3" s="12"/>
      <c r="L3" s="12"/>
      <c r="M3" s="12"/>
      <c r="N3" s="12"/>
      <c r="O3" s="12"/>
      <c r="P3" s="12"/>
      <c r="Q3" s="12"/>
      <c r="R3" s="12"/>
      <c r="S3" s="12"/>
      <c r="T3" s="12"/>
      <c r="U3" s="12"/>
      <c r="V3" s="12"/>
      <c r="W3" s="12"/>
      <c r="X3" s="12"/>
      <c r="Y3" s="12"/>
      <c r="Z3" s="12"/>
    </row>
    <row r="4" spans="1:26">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ht="15.75">
      <c r="A5" s="203" t="s">
        <v>189</v>
      </c>
      <c r="B5" s="201"/>
      <c r="C5" s="201"/>
      <c r="D5" s="201"/>
      <c r="E5" s="201"/>
      <c r="F5" s="201"/>
      <c r="G5" s="201"/>
      <c r="H5" s="201"/>
      <c r="I5" s="201"/>
      <c r="J5" s="201"/>
      <c r="K5" s="201"/>
      <c r="L5" s="201"/>
      <c r="M5" s="12"/>
      <c r="N5" s="12"/>
      <c r="O5" s="12"/>
      <c r="P5" s="12"/>
      <c r="Q5" s="12"/>
      <c r="R5" s="12"/>
      <c r="S5" s="12"/>
      <c r="T5" s="12"/>
      <c r="U5" s="12"/>
      <c r="V5" s="12"/>
      <c r="W5" s="12"/>
      <c r="X5" s="12"/>
      <c r="Y5" s="12"/>
      <c r="Z5" s="12"/>
    </row>
    <row r="6" spans="1:26">
      <c r="A6" s="204" t="s">
        <v>190</v>
      </c>
      <c r="B6" s="201"/>
      <c r="C6" s="201"/>
      <c r="D6" s="204" t="s">
        <v>191</v>
      </c>
      <c r="E6" s="201"/>
      <c r="F6" s="201"/>
      <c r="G6" s="204" t="s">
        <v>18</v>
      </c>
      <c r="H6" s="201"/>
      <c r="I6" s="201"/>
      <c r="J6" s="204" t="s">
        <v>192</v>
      </c>
      <c r="K6" s="201"/>
      <c r="L6" s="201"/>
      <c r="M6" s="12"/>
      <c r="N6" s="12"/>
      <c r="O6" s="12"/>
      <c r="P6" s="12"/>
      <c r="Q6" s="12"/>
      <c r="R6" s="12"/>
      <c r="S6" s="12"/>
      <c r="T6" s="12"/>
      <c r="U6" s="12"/>
      <c r="V6" s="12"/>
      <c r="W6" s="12"/>
      <c r="X6" s="12"/>
      <c r="Y6" s="12"/>
      <c r="Z6" s="12"/>
    </row>
    <row r="7" spans="1:26" ht="28.5">
      <c r="A7" s="205">
        <f>COUNTIF('AI Use Case Register'!R5:R26,"Approved")</f>
        <v>20</v>
      </c>
      <c r="B7" s="201"/>
      <c r="C7" s="201"/>
      <c r="D7" s="205">
        <f>COUNTIF('AI Use Case Register'!Q5:Q26,"Tier 1")</f>
        <v>11</v>
      </c>
      <c r="E7" s="201"/>
      <c r="F7" s="201"/>
      <c r="G7" s="206" t="e">
        <f>AVERAGE('[1]ISO 42001 Audit Readiness Matri'!K5:K42)/3</f>
        <v>#REF!</v>
      </c>
      <c r="H7" s="201"/>
      <c r="I7" s="201"/>
      <c r="J7" s="207">
        <f>SUM('Maturity Assessment'!D5:D13)/SUM('Maturity Assessment'!F5:F13)</f>
        <v>0.76315789473684215</v>
      </c>
      <c r="K7" s="201"/>
      <c r="L7" s="201"/>
      <c r="M7" s="12"/>
      <c r="N7" s="12"/>
      <c r="O7" s="12"/>
      <c r="P7" s="12"/>
      <c r="Q7" s="12"/>
      <c r="R7" s="12"/>
      <c r="S7" s="12"/>
      <c r="T7" s="12"/>
      <c r="U7" s="12"/>
      <c r="V7" s="12"/>
      <c r="W7" s="12"/>
      <c r="X7" s="12"/>
      <c r="Y7" s="12"/>
      <c r="Z7" s="12"/>
    </row>
    <row r="8" spans="1:26">
      <c r="A8" s="208" t="s">
        <v>193</v>
      </c>
      <c r="B8" s="201"/>
      <c r="C8" s="201"/>
      <c r="D8" s="208" t="s">
        <v>194</v>
      </c>
      <c r="E8" s="201"/>
      <c r="F8" s="201"/>
      <c r="G8" s="208" t="s">
        <v>195</v>
      </c>
      <c r="H8" s="201"/>
      <c r="I8" s="201"/>
      <c r="J8" s="208" t="s">
        <v>196</v>
      </c>
      <c r="K8" s="201"/>
      <c r="L8" s="201"/>
      <c r="M8" s="12"/>
      <c r="N8" s="12"/>
      <c r="O8" s="12"/>
      <c r="P8" s="12"/>
      <c r="Q8" s="12"/>
      <c r="R8" s="12"/>
      <c r="S8" s="12"/>
      <c r="T8" s="12"/>
      <c r="U8" s="12"/>
      <c r="V8" s="12"/>
      <c r="W8" s="12"/>
      <c r="X8" s="12"/>
      <c r="Y8" s="12"/>
      <c r="Z8" s="12"/>
    </row>
    <row r="9" spans="1:26">
      <c r="A9" s="204" t="s">
        <v>197</v>
      </c>
      <c r="B9" s="201"/>
      <c r="C9" s="201"/>
      <c r="D9" s="204" t="s">
        <v>198</v>
      </c>
      <c r="E9" s="201"/>
      <c r="F9" s="201"/>
      <c r="G9" s="204" t="s">
        <v>96</v>
      </c>
      <c r="H9" s="201"/>
      <c r="I9" s="201"/>
      <c r="J9" s="204" t="s">
        <v>199</v>
      </c>
      <c r="K9" s="201"/>
      <c r="L9" s="201"/>
      <c r="M9" s="12"/>
      <c r="N9" s="12"/>
      <c r="O9" s="12"/>
      <c r="P9" s="12"/>
      <c r="Q9" s="12"/>
      <c r="R9" s="12"/>
      <c r="S9" s="12"/>
      <c r="T9" s="12"/>
      <c r="U9" s="12"/>
      <c r="V9" s="12"/>
      <c r="W9" s="12"/>
      <c r="X9" s="12"/>
      <c r="Y9" s="12"/>
      <c r="Z9" s="12"/>
    </row>
    <row r="10" spans="1:26" ht="28.5">
      <c r="A10" s="209">
        <f>COUNTIF('Risk Quantification'!K5:K17,"&gt;=15")</f>
        <v>0</v>
      </c>
      <c r="B10" s="201"/>
      <c r="C10" s="201"/>
      <c r="D10" s="209">
        <f>COUNTIF('KRI Tracking'!J5:J13,"Red")</f>
        <v>0</v>
      </c>
      <c r="E10" s="201"/>
      <c r="F10" s="201"/>
      <c r="G10" s="209">
        <f>COUNTIF('Incident Analysis'!M5:M12,"Open")+COUNTIF('Incident Analysis'!M5:M12,"Under Review")</f>
        <v>0</v>
      </c>
      <c r="H10" s="201"/>
      <c r="I10" s="201"/>
      <c r="J10" s="210">
        <f>SUM('Risk Quantification'!L5:L17)</f>
        <v>53.699999999999996</v>
      </c>
      <c r="K10" s="201"/>
      <c r="L10" s="201"/>
      <c r="M10" s="12"/>
      <c r="N10" s="12"/>
      <c r="O10" s="12"/>
      <c r="P10" s="12"/>
      <c r="Q10" s="12"/>
      <c r="R10" s="12"/>
      <c r="S10" s="12"/>
      <c r="T10" s="12"/>
      <c r="U10" s="12"/>
      <c r="V10" s="12"/>
      <c r="W10" s="12"/>
      <c r="X10" s="12"/>
      <c r="Y10" s="12"/>
      <c r="Z10" s="12"/>
    </row>
    <row r="11" spans="1:26">
      <c r="A11" s="208" t="s">
        <v>200</v>
      </c>
      <c r="B11" s="201"/>
      <c r="C11" s="201"/>
      <c r="D11" s="208" t="s">
        <v>201</v>
      </c>
      <c r="E11" s="201"/>
      <c r="F11" s="201"/>
      <c r="G11" s="208" t="s">
        <v>202</v>
      </c>
      <c r="H11" s="201"/>
      <c r="I11" s="201"/>
      <c r="J11" s="208" t="s">
        <v>203</v>
      </c>
      <c r="K11" s="201"/>
      <c r="L11" s="201"/>
      <c r="M11" s="12"/>
      <c r="N11" s="12"/>
      <c r="O11" s="12"/>
      <c r="P11" s="12"/>
      <c r="Q11" s="12"/>
      <c r="R11" s="12"/>
      <c r="S11" s="12"/>
      <c r="T11" s="12"/>
      <c r="U11" s="12"/>
      <c r="V11" s="12"/>
      <c r="W11" s="12"/>
      <c r="X11" s="12"/>
      <c r="Y11" s="12"/>
      <c r="Z11" s="12"/>
    </row>
    <row r="12" spans="1:26">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5.75">
      <c r="A13" s="203" t="s">
        <v>204</v>
      </c>
      <c r="B13" s="201"/>
      <c r="C13" s="201"/>
      <c r="D13" s="201"/>
      <c r="E13" s="201"/>
      <c r="F13" s="201"/>
      <c r="G13" s="201"/>
      <c r="H13" s="201"/>
      <c r="I13" s="201"/>
      <c r="J13" s="201"/>
      <c r="K13" s="201"/>
      <c r="L13" s="201"/>
      <c r="M13" s="12"/>
      <c r="N13" s="12"/>
      <c r="O13" s="12"/>
      <c r="P13" s="12"/>
      <c r="Q13" s="12"/>
      <c r="R13" s="12"/>
      <c r="S13" s="12"/>
      <c r="T13" s="12"/>
      <c r="U13" s="12"/>
      <c r="V13" s="12"/>
      <c r="W13" s="12"/>
      <c r="X13" s="12"/>
      <c r="Y13" s="12"/>
      <c r="Z13" s="12"/>
    </row>
    <row r="14" spans="1:26">
      <c r="A14" s="204" t="s">
        <v>205</v>
      </c>
      <c r="B14" s="201"/>
      <c r="C14" s="201"/>
      <c r="D14" s="204" t="s">
        <v>206</v>
      </c>
      <c r="E14" s="201"/>
      <c r="F14" s="201"/>
      <c r="G14" s="204" t="s">
        <v>207</v>
      </c>
      <c r="H14" s="201"/>
      <c r="I14" s="201"/>
      <c r="J14" s="204" t="s">
        <v>208</v>
      </c>
      <c r="K14" s="201"/>
      <c r="L14" s="201"/>
      <c r="M14" s="12"/>
      <c r="N14" s="12"/>
      <c r="O14" s="12"/>
      <c r="P14" s="12"/>
      <c r="Q14" s="12"/>
      <c r="R14" s="12"/>
      <c r="S14" s="12"/>
      <c r="T14" s="12"/>
      <c r="U14" s="12"/>
      <c r="V14" s="12"/>
      <c r="W14" s="12"/>
      <c r="X14" s="12"/>
      <c r="Y14" s="12"/>
      <c r="Z14" s="12"/>
    </row>
    <row r="15" spans="1:26" ht="28.5">
      <c r="A15" s="205" t="e">
        <f>COUNTIF('[1]ISO 42001 Audit Readiness Matri'!K5:K42,3)</f>
        <v>#VALUE!</v>
      </c>
      <c r="B15" s="201"/>
      <c r="C15" s="201"/>
      <c r="D15" s="205" t="e">
        <f>COUNTIF('[1]ISO 42001 Audit Readiness Matri'!L5:L42,"Major*")</f>
        <v>#VALUE!</v>
      </c>
      <c r="E15" s="201"/>
      <c r="F15" s="201"/>
      <c r="G15" s="205" t="e">
        <f>COUNTIF('[2]Evidence Register'!O5:O34,"Stale")</f>
        <v>#VALUE!</v>
      </c>
      <c r="H15" s="201"/>
      <c r="I15" s="201"/>
      <c r="J15" s="205" t="e">
        <f>COUNTIF('[2]Evidence Register'!O5:O34,"Due Soon")</f>
        <v>#VALUE!</v>
      </c>
      <c r="K15" s="201"/>
      <c r="L15" s="201"/>
      <c r="M15" s="12"/>
      <c r="N15" s="12"/>
      <c r="O15" s="12"/>
      <c r="P15" s="12"/>
      <c r="Q15" s="12"/>
      <c r="R15" s="12"/>
      <c r="S15" s="12"/>
      <c r="T15" s="12"/>
      <c r="U15" s="12"/>
      <c r="V15" s="12"/>
      <c r="W15" s="12"/>
      <c r="X15" s="12"/>
      <c r="Y15" s="12"/>
      <c r="Z15" s="12"/>
    </row>
    <row r="16" spans="1:26">
      <c r="A16" s="208" t="s">
        <v>209</v>
      </c>
      <c r="B16" s="201"/>
      <c r="C16" s="201"/>
      <c r="D16" s="208" t="s">
        <v>210</v>
      </c>
      <c r="E16" s="201"/>
      <c r="F16" s="201"/>
      <c r="G16" s="208" t="s">
        <v>211</v>
      </c>
      <c r="H16" s="201"/>
      <c r="I16" s="201"/>
      <c r="J16" s="208" t="s">
        <v>212</v>
      </c>
      <c r="K16" s="201"/>
      <c r="L16" s="201"/>
      <c r="M16" s="12"/>
      <c r="N16" s="12"/>
      <c r="O16" s="12"/>
      <c r="P16" s="12"/>
      <c r="Q16" s="12"/>
      <c r="R16" s="12"/>
      <c r="S16" s="12"/>
      <c r="T16" s="12"/>
      <c r="U16" s="12"/>
      <c r="V16" s="12"/>
      <c r="W16" s="12"/>
      <c r="X16" s="12"/>
      <c r="Y16" s="12"/>
      <c r="Z16" s="12"/>
    </row>
    <row r="17" spans="1:26">
      <c r="A17" s="204" t="s">
        <v>213</v>
      </c>
      <c r="B17" s="201"/>
      <c r="C17" s="201"/>
      <c r="D17" s="204" t="s">
        <v>214</v>
      </c>
      <c r="E17" s="201"/>
      <c r="F17" s="201"/>
      <c r="G17" s="204" t="s">
        <v>215</v>
      </c>
      <c r="H17" s="201"/>
      <c r="I17" s="201"/>
      <c r="J17" s="204" t="s">
        <v>216</v>
      </c>
      <c r="K17" s="201"/>
      <c r="L17" s="201"/>
      <c r="M17" s="12"/>
      <c r="N17" s="12"/>
      <c r="O17" s="12"/>
      <c r="P17" s="12"/>
      <c r="Q17" s="12"/>
      <c r="R17" s="12"/>
      <c r="S17" s="12"/>
      <c r="T17" s="12"/>
      <c r="U17" s="12"/>
      <c r="V17" s="12"/>
      <c r="W17" s="12"/>
      <c r="X17" s="12"/>
      <c r="Y17" s="12"/>
      <c r="Z17" s="12"/>
    </row>
    <row r="18" spans="1:26" ht="28.5">
      <c r="A18" s="205">
        <f>COUNTIF('Compliance Mapping'!K5:K20,"Implemented")</f>
        <v>12</v>
      </c>
      <c r="B18" s="201"/>
      <c r="C18" s="201"/>
      <c r="D18" s="205">
        <f>COUNTIF('Compliance Mapping'!K5:K20,"Partially Implemented")</f>
        <v>4</v>
      </c>
      <c r="E18" s="201"/>
      <c r="F18" s="201"/>
      <c r="G18" s="211">
        <f>SUMPRODUCT(('Compliance Mapping'!P5:P20&lt;&gt;"No material gaps")*(LEN('Compliance Mapping'!P5:P20)&gt;0))</f>
        <v>6</v>
      </c>
      <c r="H18" s="201"/>
      <c r="I18" s="201"/>
      <c r="J18" s="205">
        <f>COUNTBLANK('Compliance Mapping'!L5:L20)</f>
        <v>0</v>
      </c>
      <c r="K18" s="201"/>
      <c r="L18" s="201"/>
      <c r="M18" s="12"/>
      <c r="N18" s="12"/>
      <c r="O18" s="12"/>
      <c r="P18" s="12"/>
      <c r="Q18" s="12"/>
      <c r="R18" s="12"/>
      <c r="S18" s="12"/>
      <c r="T18" s="12"/>
      <c r="U18" s="12"/>
      <c r="V18" s="12"/>
      <c r="W18" s="12"/>
      <c r="X18" s="12"/>
      <c r="Y18" s="12"/>
      <c r="Z18" s="12"/>
    </row>
    <row r="19" spans="1:26">
      <c r="A19" s="208" t="s">
        <v>217</v>
      </c>
      <c r="B19" s="201"/>
      <c r="C19" s="201"/>
      <c r="D19" s="208" t="s">
        <v>218</v>
      </c>
      <c r="E19" s="201"/>
      <c r="F19" s="201"/>
      <c r="G19" s="208" t="s">
        <v>219</v>
      </c>
      <c r="H19" s="201"/>
      <c r="I19" s="201"/>
      <c r="J19" s="208" t="s">
        <v>220</v>
      </c>
      <c r="K19" s="201"/>
      <c r="L19" s="201"/>
      <c r="M19" s="12"/>
      <c r="N19" s="12"/>
      <c r="O19" s="12"/>
      <c r="P19" s="12"/>
      <c r="Q19" s="12"/>
      <c r="R19" s="12"/>
      <c r="S19" s="12"/>
      <c r="T19" s="12"/>
      <c r="U19" s="12"/>
      <c r="V19" s="12"/>
      <c r="W19" s="12"/>
      <c r="X19" s="12"/>
      <c r="Y19" s="12"/>
      <c r="Z19" s="12"/>
    </row>
    <row r="20" spans="1:26">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5.75">
      <c r="A21" s="203" t="s">
        <v>221</v>
      </c>
      <c r="B21" s="201"/>
      <c r="C21" s="201"/>
      <c r="D21" s="201"/>
      <c r="E21" s="201"/>
      <c r="F21" s="201"/>
      <c r="G21" s="201"/>
      <c r="H21" s="201"/>
      <c r="I21" s="201"/>
      <c r="J21" s="201"/>
      <c r="K21" s="201"/>
      <c r="L21" s="201"/>
      <c r="M21" s="12"/>
      <c r="N21" s="12"/>
      <c r="O21" s="12"/>
      <c r="P21" s="12"/>
      <c r="Q21" s="12"/>
      <c r="R21" s="12"/>
      <c r="S21" s="12"/>
      <c r="T21" s="12"/>
      <c r="U21" s="12"/>
      <c r="V21" s="12"/>
      <c r="W21" s="12"/>
      <c r="X21" s="12"/>
      <c r="Y21" s="12"/>
      <c r="Z21" s="12"/>
    </row>
    <row r="22" spans="1:26">
      <c r="A22" s="204" t="s">
        <v>222</v>
      </c>
      <c r="B22" s="201"/>
      <c r="C22" s="201"/>
      <c r="D22" s="204" t="s">
        <v>223</v>
      </c>
      <c r="E22" s="201"/>
      <c r="F22" s="201"/>
      <c r="G22" s="204" t="s">
        <v>224</v>
      </c>
      <c r="H22" s="201"/>
      <c r="I22" s="201"/>
      <c r="J22" s="204" t="s">
        <v>225</v>
      </c>
      <c r="K22" s="201"/>
      <c r="L22" s="201"/>
      <c r="M22" s="12"/>
      <c r="N22" s="12"/>
      <c r="O22" s="12"/>
      <c r="P22" s="12"/>
      <c r="Q22" s="12"/>
      <c r="R22" s="12"/>
      <c r="S22" s="12"/>
      <c r="T22" s="12"/>
      <c r="U22" s="12"/>
      <c r="V22" s="12"/>
      <c r="W22" s="12"/>
      <c r="X22" s="12"/>
      <c r="Y22" s="12"/>
      <c r="Z22" s="12"/>
    </row>
    <row r="23" spans="1:26" ht="28.5">
      <c r="A23" s="205">
        <f>COUNTIF('Service Request Log'!H5:H28,"Open")+COUNTIF('Service Request Log'!H5:H28,"In Progress")</f>
        <v>6</v>
      </c>
      <c r="B23" s="201"/>
      <c r="C23" s="201"/>
      <c r="D23" s="207">
        <f>COUNTIF('Service Request Log'!L5:L28,"Yes")/(COUNTIF('Service Request Log'!L5:L28,"Yes")+COUNTIF('Service Request Log'!L5:L28,"No"))</f>
        <v>0.88888888888888884</v>
      </c>
      <c r="E23" s="201"/>
      <c r="F23" s="201"/>
      <c r="G23" s="207">
        <f>COUNTIF('Third-Party Risk Services'!G5:G20,"Complete")/COUNTA('Third-Party Risk Services'!G5:G20)</f>
        <v>0.9375</v>
      </c>
      <c r="H23" s="201"/>
      <c r="I23" s="201"/>
      <c r="J23" s="209">
        <f ca="1">SUMPRODUCT(('Third-Party Risk Services'!J5:J20&lt;TODAY())*1)</f>
        <v>0</v>
      </c>
      <c r="K23" s="201"/>
      <c r="L23" s="201"/>
      <c r="M23" s="12"/>
      <c r="N23" s="12"/>
      <c r="O23" s="12"/>
      <c r="P23" s="12"/>
      <c r="Q23" s="12"/>
      <c r="R23" s="12"/>
      <c r="S23" s="12"/>
      <c r="T23" s="12"/>
      <c r="U23" s="12"/>
      <c r="V23" s="12"/>
      <c r="W23" s="12"/>
      <c r="X23" s="12"/>
      <c r="Y23" s="12"/>
      <c r="Z23" s="12"/>
    </row>
    <row r="24" spans="1:26">
      <c r="A24" s="208" t="s">
        <v>226</v>
      </c>
      <c r="B24" s="201"/>
      <c r="C24" s="201"/>
      <c r="D24" s="208" t="s">
        <v>227</v>
      </c>
      <c r="E24" s="201"/>
      <c r="F24" s="201"/>
      <c r="G24" s="208" t="s">
        <v>228</v>
      </c>
      <c r="H24" s="201"/>
      <c r="I24" s="201"/>
      <c r="J24" s="208" t="s">
        <v>229</v>
      </c>
      <c r="K24" s="201"/>
      <c r="L24" s="201"/>
      <c r="M24" s="12"/>
      <c r="N24" s="12"/>
      <c r="O24" s="12"/>
      <c r="P24" s="12"/>
      <c r="Q24" s="12"/>
      <c r="R24" s="12"/>
      <c r="S24" s="12"/>
      <c r="T24" s="12"/>
      <c r="U24" s="12"/>
      <c r="V24" s="12"/>
      <c r="W24" s="12"/>
      <c r="X24" s="12"/>
      <c r="Y24" s="12"/>
      <c r="Z24" s="12"/>
    </row>
    <row r="25" spans="1:26">
      <c r="A25" s="204" t="s">
        <v>230</v>
      </c>
      <c r="B25" s="201"/>
      <c r="C25" s="201"/>
      <c r="D25" s="204" t="s">
        <v>231</v>
      </c>
      <c r="E25" s="201"/>
      <c r="F25" s="201"/>
      <c r="G25" s="204" t="s">
        <v>232</v>
      </c>
      <c r="H25" s="201"/>
      <c r="I25" s="201"/>
      <c r="J25" s="204" t="s">
        <v>69</v>
      </c>
      <c r="K25" s="201"/>
      <c r="L25" s="201"/>
      <c r="M25" s="12"/>
      <c r="N25" s="12"/>
      <c r="O25" s="12"/>
      <c r="P25" s="12"/>
      <c r="Q25" s="12"/>
      <c r="R25" s="12"/>
      <c r="S25" s="12"/>
      <c r="T25" s="12"/>
      <c r="U25" s="12"/>
      <c r="V25" s="12"/>
      <c r="W25" s="12"/>
      <c r="X25" s="12"/>
      <c r="Y25" s="12"/>
      <c r="Z25" s="12"/>
    </row>
    <row r="26" spans="1:26" ht="28.5">
      <c r="A26" s="205">
        <f>COUNTIF('Incident Analysis'!D5:D12,"Sev 1")+COUNTIF('Incident Analysis'!D5:D12,"Sev 2")</f>
        <v>4</v>
      </c>
      <c r="B26" s="201"/>
      <c r="C26" s="201"/>
      <c r="D26" s="212">
        <f ca="1">AVERAGEIF('Service Request Log'!H5:H28,"Closed",'Service Request Log'!K5:K28)</f>
        <v>13.5</v>
      </c>
      <c r="E26" s="201"/>
      <c r="F26" s="201"/>
      <c r="G26" s="213">
        <f>COUNTIF('KRI Tracking'!J5:J13,"Amber")</f>
        <v>2</v>
      </c>
      <c r="H26" s="201"/>
      <c r="I26" s="201"/>
      <c r="J26" s="206" t="e">
        <f>COUNTIF('[2]Evidence Register'!O5:O34,"Current")/COUNTA('[2]Evidence Register'!O5:O34)</f>
        <v>#VALUE!</v>
      </c>
      <c r="K26" s="201"/>
      <c r="L26" s="201"/>
      <c r="M26" s="12"/>
      <c r="N26" s="12"/>
      <c r="O26" s="12"/>
      <c r="P26" s="12"/>
      <c r="Q26" s="12"/>
      <c r="R26" s="12"/>
      <c r="S26" s="12"/>
      <c r="T26" s="12"/>
      <c r="U26" s="12"/>
      <c r="V26" s="12"/>
      <c r="W26" s="12"/>
      <c r="X26" s="12"/>
      <c r="Y26" s="12"/>
      <c r="Z26" s="12"/>
    </row>
    <row r="27" spans="1:26">
      <c r="A27" s="208" t="s">
        <v>233</v>
      </c>
      <c r="B27" s="201"/>
      <c r="C27" s="201"/>
      <c r="D27" s="208" t="s">
        <v>234</v>
      </c>
      <c r="E27" s="201"/>
      <c r="F27" s="201"/>
      <c r="G27" s="208" t="s">
        <v>235</v>
      </c>
      <c r="H27" s="201"/>
      <c r="I27" s="201"/>
      <c r="J27" s="208" t="s">
        <v>236</v>
      </c>
      <c r="K27" s="201"/>
      <c r="L27" s="201"/>
      <c r="M27" s="12"/>
      <c r="N27" s="12"/>
      <c r="O27" s="12"/>
      <c r="P27" s="12"/>
      <c r="Q27" s="12"/>
      <c r="R27" s="12"/>
      <c r="S27" s="12"/>
      <c r="T27" s="12"/>
      <c r="U27" s="12"/>
      <c r="V27" s="12"/>
      <c r="W27" s="12"/>
      <c r="X27" s="12"/>
      <c r="Y27" s="12"/>
      <c r="Z27" s="12"/>
    </row>
    <row r="28" spans="1:26">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5.75">
      <c r="A29" s="203" t="s">
        <v>237</v>
      </c>
      <c r="B29" s="201"/>
      <c r="C29" s="201"/>
      <c r="D29" s="201"/>
      <c r="E29" s="201"/>
      <c r="F29" s="201"/>
      <c r="G29" s="201"/>
      <c r="H29" s="201"/>
      <c r="I29" s="201"/>
      <c r="J29" s="201"/>
      <c r="K29" s="201"/>
      <c r="L29" s="201"/>
      <c r="M29" s="12"/>
      <c r="N29" s="12"/>
      <c r="O29" s="12"/>
      <c r="P29" s="12"/>
      <c r="Q29" s="12"/>
      <c r="R29" s="12"/>
      <c r="S29" s="12"/>
      <c r="T29" s="12"/>
      <c r="U29" s="12"/>
      <c r="V29" s="12"/>
      <c r="W29" s="12"/>
      <c r="X29" s="12"/>
      <c r="Y29" s="12"/>
      <c r="Z29" s="12"/>
    </row>
    <row r="30" spans="1:26">
      <c r="A30" s="204" t="s">
        <v>238</v>
      </c>
      <c r="B30" s="201"/>
      <c r="C30" s="201"/>
      <c r="D30" s="204" t="s">
        <v>239</v>
      </c>
      <c r="E30" s="201"/>
      <c r="F30" s="201"/>
      <c r="G30" s="204" t="s">
        <v>240</v>
      </c>
      <c r="H30" s="201"/>
      <c r="I30" s="201"/>
      <c r="J30" s="204" t="s">
        <v>241</v>
      </c>
      <c r="K30" s="201"/>
      <c r="L30" s="201"/>
      <c r="M30" s="12"/>
      <c r="N30" s="12"/>
      <c r="O30" s="12"/>
      <c r="P30" s="12"/>
      <c r="Q30" s="12"/>
      <c r="R30" s="12"/>
      <c r="S30" s="12"/>
      <c r="T30" s="12"/>
      <c r="U30" s="12"/>
      <c r="V30" s="12"/>
      <c r="W30" s="12"/>
      <c r="X30" s="12"/>
      <c r="Y30" s="12"/>
      <c r="Z30" s="12"/>
    </row>
    <row r="31" spans="1:26" ht="28.5">
      <c r="A31" s="207">
        <f>AVERAGE('Implementation Roadmap'!I5:I16)</f>
        <v>0.375</v>
      </c>
      <c r="B31" s="201"/>
      <c r="C31" s="201"/>
      <c r="D31" s="214">
        <f>'Financial Analysis'!E34</f>
        <v>6159.3</v>
      </c>
      <c r="E31" s="201"/>
      <c r="F31" s="201"/>
      <c r="G31" s="215">
        <f>'Financial Analysis'!H34</f>
        <v>-58</v>
      </c>
      <c r="H31" s="201"/>
      <c r="I31" s="201"/>
      <c r="J31" s="205">
        <f>SUM('Resource Planning'!D5:D16)-SUM('Resource Planning'!C5:C16)</f>
        <v>5</v>
      </c>
      <c r="K31" s="201"/>
      <c r="L31" s="201"/>
      <c r="M31" s="12"/>
      <c r="N31" s="12"/>
      <c r="O31" s="12"/>
      <c r="P31" s="12"/>
      <c r="Q31" s="12"/>
      <c r="R31" s="12"/>
      <c r="S31" s="12"/>
      <c r="T31" s="12"/>
      <c r="U31" s="12"/>
      <c r="V31" s="12"/>
      <c r="W31" s="12"/>
      <c r="X31" s="12"/>
      <c r="Y31" s="12"/>
      <c r="Z31" s="12"/>
    </row>
    <row r="32" spans="1:26">
      <c r="A32" s="208" t="s">
        <v>242</v>
      </c>
      <c r="B32" s="201"/>
      <c r="C32" s="201"/>
      <c r="D32" s="208" t="s">
        <v>243</v>
      </c>
      <c r="E32" s="201"/>
      <c r="F32" s="201"/>
      <c r="G32" s="208" t="s">
        <v>244</v>
      </c>
      <c r="H32" s="201"/>
      <c r="I32" s="201"/>
      <c r="J32" s="208" t="s">
        <v>245</v>
      </c>
      <c r="K32" s="201"/>
      <c r="L32" s="201"/>
      <c r="M32" s="12"/>
      <c r="N32" s="12"/>
      <c r="O32" s="12"/>
      <c r="P32" s="12"/>
      <c r="Q32" s="12"/>
      <c r="R32" s="12"/>
      <c r="S32" s="12"/>
      <c r="T32" s="12"/>
      <c r="U32" s="12"/>
      <c r="V32" s="12"/>
      <c r="W32" s="12"/>
      <c r="X32" s="12"/>
      <c r="Y32" s="12"/>
      <c r="Z32" s="12"/>
    </row>
    <row r="33" spans="1:26">
      <c r="A33" s="204" t="s">
        <v>246</v>
      </c>
      <c r="B33" s="201"/>
      <c r="C33" s="201"/>
      <c r="D33" s="204" t="s">
        <v>247</v>
      </c>
      <c r="E33" s="201"/>
      <c r="F33" s="201"/>
      <c r="G33" s="204" t="s">
        <v>248</v>
      </c>
      <c r="H33" s="201"/>
      <c r="I33" s="201"/>
      <c r="J33" s="204" t="s">
        <v>58</v>
      </c>
      <c r="K33" s="201"/>
      <c r="L33" s="201"/>
      <c r="M33" s="12"/>
      <c r="N33" s="12"/>
      <c r="O33" s="12"/>
      <c r="P33" s="12"/>
      <c r="Q33" s="12"/>
      <c r="R33" s="12"/>
      <c r="S33" s="12"/>
      <c r="T33" s="12"/>
      <c r="U33" s="12"/>
      <c r="V33" s="12"/>
      <c r="W33" s="12"/>
      <c r="X33" s="12"/>
      <c r="Y33" s="12"/>
      <c r="Z33" s="12"/>
    </row>
    <row r="34" spans="1:26" ht="28.5">
      <c r="A34" s="205">
        <f>COUNTIF('Implementation Roadmap'!H5:H16,"On Track")+COUNTIF('Implementation Roadmap'!H5:H16,"In Progress")</f>
        <v>10</v>
      </c>
      <c r="B34" s="201"/>
      <c r="C34" s="201"/>
      <c r="D34" s="205">
        <f>COUNTIF('Implementation Roadmap'!H5:H16,"Delayed")+COUNTIF('Implementation Roadmap'!H5:H16,"Not Started")</f>
        <v>2</v>
      </c>
      <c r="E34" s="201"/>
      <c r="F34" s="201"/>
      <c r="G34" s="209" t="e">
        <f>COUNTIF('[3]Management Review and Internal '!G24:G37,"Open")+COUNTIF('[3]Management Review and Internal '!G24:G37,"In Progress")</f>
        <v>#VALUE!</v>
      </c>
      <c r="H34" s="201"/>
      <c r="I34" s="201"/>
      <c r="J34" s="211" t="e">
        <f ca="1">SUMPRODUCT(('[3]Management Review and Internal '!G24:G37&lt;&gt;"Closed")*('[3]Management Review and Internal '!F24:F37&lt;TODAY())*1)</f>
        <v>#REF!</v>
      </c>
      <c r="K34" s="201"/>
      <c r="L34" s="201"/>
      <c r="M34" s="12"/>
      <c r="N34" s="12"/>
      <c r="O34" s="12"/>
      <c r="P34" s="12"/>
      <c r="Q34" s="12"/>
      <c r="R34" s="12"/>
      <c r="S34" s="12"/>
      <c r="T34" s="12"/>
      <c r="U34" s="12"/>
      <c r="V34" s="12"/>
      <c r="W34" s="12"/>
      <c r="X34" s="12"/>
      <c r="Y34" s="12"/>
      <c r="Z34" s="12"/>
    </row>
    <row r="35" spans="1:26">
      <c r="A35" s="208" t="s">
        <v>249</v>
      </c>
      <c r="B35" s="201"/>
      <c r="C35" s="201"/>
      <c r="D35" s="208" t="s">
        <v>250</v>
      </c>
      <c r="E35" s="201"/>
      <c r="F35" s="201"/>
      <c r="G35" s="208" t="s">
        <v>251</v>
      </c>
      <c r="H35" s="201"/>
      <c r="I35" s="201"/>
      <c r="J35" s="208" t="s">
        <v>252</v>
      </c>
      <c r="K35" s="201"/>
      <c r="L35" s="201"/>
      <c r="M35" s="12"/>
      <c r="N35" s="12"/>
      <c r="O35" s="12"/>
      <c r="P35" s="12"/>
      <c r="Q35" s="12"/>
      <c r="R35" s="12"/>
      <c r="S35" s="12"/>
      <c r="T35" s="12"/>
      <c r="U35" s="12"/>
      <c r="V35" s="12"/>
      <c r="W35" s="12"/>
      <c r="X35" s="12"/>
      <c r="Y35" s="12"/>
      <c r="Z35" s="12"/>
    </row>
    <row r="36" spans="1:2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5.75">
      <c r="A37" s="203" t="s">
        <v>253</v>
      </c>
      <c r="B37" s="201"/>
      <c r="C37" s="201"/>
      <c r="D37" s="201"/>
      <c r="E37" s="201"/>
      <c r="F37" s="201"/>
      <c r="G37" s="201"/>
      <c r="H37" s="201"/>
      <c r="I37" s="201"/>
      <c r="J37" s="201"/>
      <c r="K37" s="201"/>
      <c r="L37" s="201"/>
      <c r="M37" s="12"/>
      <c r="N37" s="12"/>
      <c r="O37" s="12"/>
      <c r="P37" s="12"/>
      <c r="Q37" s="12"/>
      <c r="R37" s="12"/>
      <c r="S37" s="12"/>
      <c r="T37" s="12"/>
      <c r="U37" s="12"/>
      <c r="V37" s="12"/>
      <c r="W37" s="12"/>
      <c r="X37" s="12"/>
      <c r="Y37" s="12"/>
      <c r="Z37" s="12"/>
    </row>
    <row r="38" spans="1:26">
      <c r="A38" s="204" t="s">
        <v>254</v>
      </c>
      <c r="B38" s="201"/>
      <c r="C38" s="204" t="s">
        <v>255</v>
      </c>
      <c r="D38" s="201"/>
      <c r="E38" s="201"/>
      <c r="F38" s="14" t="s">
        <v>256</v>
      </c>
      <c r="G38" s="14" t="s">
        <v>257</v>
      </c>
      <c r="H38" s="204" t="s">
        <v>258</v>
      </c>
      <c r="I38" s="201"/>
      <c r="J38" s="204" t="s">
        <v>17</v>
      </c>
      <c r="K38" s="201"/>
      <c r="L38" s="201"/>
      <c r="M38" s="12"/>
      <c r="N38" s="12"/>
      <c r="O38" s="12"/>
      <c r="P38" s="12"/>
      <c r="Q38" s="12"/>
      <c r="R38" s="12"/>
      <c r="S38" s="12"/>
      <c r="T38" s="12"/>
      <c r="U38" s="12"/>
      <c r="V38" s="12"/>
      <c r="W38" s="12"/>
      <c r="X38" s="12"/>
      <c r="Y38" s="12"/>
      <c r="Z38" s="12"/>
    </row>
    <row r="39" spans="1:26">
      <c r="A39" s="216" t="s">
        <v>259</v>
      </c>
      <c r="B39" s="201"/>
      <c r="C39" s="216" t="s">
        <v>260</v>
      </c>
      <c r="D39" s="201"/>
      <c r="E39" s="201"/>
      <c r="F39" s="16">
        <f>'Risk Quantification'!K15</f>
        <v>10</v>
      </c>
      <c r="G39" s="17">
        <f>'Risk Quantification'!L15</f>
        <v>7.5</v>
      </c>
      <c r="H39" s="216" t="str">
        <f>'Risk Quantification'!M15</f>
        <v>Mitigate</v>
      </c>
      <c r="I39" s="201"/>
      <c r="J39" s="216" t="s">
        <v>262</v>
      </c>
      <c r="K39" s="201"/>
      <c r="L39" s="201"/>
      <c r="M39" s="12"/>
      <c r="N39" s="12"/>
      <c r="O39" s="12"/>
      <c r="P39" s="12"/>
      <c r="Q39" s="12"/>
      <c r="R39" s="12"/>
      <c r="S39" s="12"/>
      <c r="T39" s="12"/>
      <c r="U39" s="12"/>
      <c r="V39" s="12"/>
      <c r="W39" s="12"/>
      <c r="X39" s="12"/>
      <c r="Y39" s="12"/>
      <c r="Z39" s="12"/>
    </row>
    <row r="40" spans="1:26">
      <c r="A40" s="217" t="s">
        <v>263</v>
      </c>
      <c r="B40" s="201"/>
      <c r="C40" s="217" t="s">
        <v>264</v>
      </c>
      <c r="D40" s="201"/>
      <c r="E40" s="201"/>
      <c r="F40" s="19">
        <f>'Risk Quantification'!K5</f>
        <v>8</v>
      </c>
      <c r="G40" s="20">
        <f>'Risk Quantification'!L5</f>
        <v>6.5</v>
      </c>
      <c r="H40" s="217" t="str">
        <f>'Risk Quantification'!M5</f>
        <v>Mitigate</v>
      </c>
      <c r="I40" s="201"/>
      <c r="J40" s="217" t="s">
        <v>68</v>
      </c>
      <c r="K40" s="201"/>
      <c r="L40" s="201"/>
      <c r="M40" s="12"/>
      <c r="N40" s="12"/>
      <c r="O40" s="12"/>
      <c r="P40" s="12"/>
      <c r="Q40" s="12"/>
      <c r="R40" s="12"/>
      <c r="S40" s="12"/>
      <c r="T40" s="12"/>
      <c r="U40" s="12"/>
      <c r="V40" s="12"/>
      <c r="W40" s="12"/>
      <c r="X40" s="12"/>
      <c r="Y40" s="12"/>
      <c r="Z40" s="12"/>
    </row>
    <row r="41" spans="1:26">
      <c r="A41" s="216" t="s">
        <v>265</v>
      </c>
      <c r="B41" s="201"/>
      <c r="C41" s="216" t="s">
        <v>266</v>
      </c>
      <c r="D41" s="201"/>
      <c r="E41" s="201"/>
      <c r="F41" s="16">
        <f>'Risk Quantification'!K14</f>
        <v>10</v>
      </c>
      <c r="G41" s="17">
        <f>'Risk Quantification'!L14</f>
        <v>6</v>
      </c>
      <c r="H41" s="216" t="str">
        <f>'Risk Quantification'!M14</f>
        <v>Mitigate</v>
      </c>
      <c r="I41" s="201"/>
      <c r="J41" s="216" t="s">
        <v>173</v>
      </c>
      <c r="K41" s="201"/>
      <c r="L41" s="201"/>
      <c r="M41" s="12"/>
      <c r="N41" s="12"/>
      <c r="O41" s="12"/>
      <c r="P41" s="12"/>
      <c r="Q41" s="12"/>
      <c r="R41" s="12"/>
      <c r="S41" s="12"/>
      <c r="T41" s="12"/>
      <c r="U41" s="12"/>
      <c r="V41" s="12"/>
      <c r="W41" s="12"/>
      <c r="X41" s="12"/>
      <c r="Y41" s="12"/>
      <c r="Z41" s="12"/>
    </row>
    <row r="42" spans="1:26">
      <c r="A42" s="217" t="s">
        <v>267</v>
      </c>
      <c r="B42" s="201"/>
      <c r="C42" s="217" t="s">
        <v>268</v>
      </c>
      <c r="D42" s="201"/>
      <c r="E42" s="201"/>
      <c r="F42" s="19">
        <f>'Risk Quantification'!K8</f>
        <v>8</v>
      </c>
      <c r="G42" s="20">
        <f>'Risk Quantification'!L8</f>
        <v>5.5</v>
      </c>
      <c r="H42" s="217" t="str">
        <f>'Risk Quantification'!M8</f>
        <v>Mitigate</v>
      </c>
      <c r="I42" s="201"/>
      <c r="J42" s="217" t="s">
        <v>269</v>
      </c>
      <c r="K42" s="201"/>
      <c r="L42" s="201"/>
      <c r="M42" s="12"/>
      <c r="N42" s="12"/>
      <c r="O42" s="12"/>
      <c r="P42" s="12"/>
      <c r="Q42" s="12"/>
      <c r="R42" s="12"/>
      <c r="S42" s="12"/>
      <c r="T42" s="12"/>
      <c r="U42" s="12"/>
      <c r="V42" s="12"/>
      <c r="W42" s="12"/>
      <c r="X42" s="12"/>
      <c r="Y42" s="12"/>
      <c r="Z42" s="12"/>
    </row>
    <row r="43" spans="1:26">
      <c r="A43" s="216" t="s">
        <v>270</v>
      </c>
      <c r="B43" s="201"/>
      <c r="C43" s="216" t="s">
        <v>271</v>
      </c>
      <c r="D43" s="201"/>
      <c r="E43" s="201"/>
      <c r="F43" s="16">
        <f>'Risk Quantification'!K9</f>
        <v>8</v>
      </c>
      <c r="G43" s="17">
        <f>'Risk Quantification'!L9</f>
        <v>4.8</v>
      </c>
      <c r="H43" s="216" t="str">
        <f>'Risk Quantification'!M9</f>
        <v>Mitigate</v>
      </c>
      <c r="I43" s="201"/>
      <c r="J43" s="216" t="s">
        <v>150</v>
      </c>
      <c r="K43" s="201"/>
      <c r="L43" s="201"/>
      <c r="M43" s="12"/>
      <c r="N43" s="12"/>
      <c r="O43" s="12"/>
      <c r="P43" s="12"/>
      <c r="Q43" s="12"/>
      <c r="R43" s="12"/>
      <c r="S43" s="12"/>
      <c r="T43" s="12"/>
      <c r="U43" s="12"/>
      <c r="V43" s="12"/>
      <c r="W43" s="12"/>
      <c r="X43" s="12"/>
      <c r="Y43" s="12"/>
      <c r="Z43" s="12"/>
    </row>
    <row r="44" spans="1:26">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5.75">
      <c r="A45" s="203" t="s">
        <v>272</v>
      </c>
      <c r="B45" s="201"/>
      <c r="C45" s="201"/>
      <c r="D45" s="201"/>
      <c r="E45" s="201"/>
      <c r="F45" s="201"/>
      <c r="G45" s="201"/>
      <c r="H45" s="201"/>
      <c r="I45" s="201"/>
      <c r="J45" s="201"/>
      <c r="K45" s="201"/>
      <c r="L45" s="201"/>
      <c r="M45" s="12"/>
      <c r="N45" s="12"/>
      <c r="O45" s="12"/>
      <c r="P45" s="12"/>
      <c r="Q45" s="12"/>
      <c r="R45" s="12"/>
      <c r="S45" s="12"/>
      <c r="T45" s="12"/>
      <c r="U45" s="12"/>
      <c r="V45" s="12"/>
      <c r="W45" s="12"/>
      <c r="X45" s="12"/>
      <c r="Y45" s="12"/>
      <c r="Z45" s="12"/>
    </row>
    <row r="46" spans="1:26">
      <c r="A46" s="204" t="s">
        <v>273</v>
      </c>
      <c r="B46" s="201"/>
      <c r="C46" s="204" t="s">
        <v>274</v>
      </c>
      <c r="D46" s="201"/>
      <c r="E46" s="201"/>
      <c r="F46" s="201"/>
      <c r="G46" s="14" t="s">
        <v>17</v>
      </c>
      <c r="H46" s="204" t="s">
        <v>275</v>
      </c>
      <c r="I46" s="201"/>
      <c r="J46" s="14" t="s">
        <v>276</v>
      </c>
      <c r="K46" s="204" t="s">
        <v>277</v>
      </c>
      <c r="L46" s="201"/>
      <c r="M46" s="12"/>
      <c r="N46" s="12"/>
      <c r="O46" s="12"/>
      <c r="P46" s="12"/>
      <c r="Q46" s="12"/>
      <c r="R46" s="12"/>
      <c r="S46" s="12"/>
      <c r="T46" s="12"/>
      <c r="U46" s="12"/>
      <c r="V46" s="12"/>
      <c r="W46" s="12"/>
      <c r="X46" s="12"/>
      <c r="Y46" s="12"/>
      <c r="Z46" s="12"/>
    </row>
    <row r="47" spans="1:26">
      <c r="A47" s="216" t="s">
        <v>278</v>
      </c>
      <c r="B47" s="201"/>
      <c r="C47" s="216" t="s">
        <v>279</v>
      </c>
      <c r="D47" s="201"/>
      <c r="E47" s="201"/>
      <c r="F47" s="201"/>
      <c r="G47" s="15" t="s">
        <v>262</v>
      </c>
      <c r="H47" s="218" t="e">
        <f>'[3]Management Review and Internal '!F33</f>
        <v>#REF!</v>
      </c>
      <c r="I47" s="201"/>
      <c r="J47" s="22" t="e">
        <f>'[3]Management Review and Internal '!H33</f>
        <v>#REF!</v>
      </c>
      <c r="K47" s="216" t="e">
        <f>'[3]Management Review and Internal '!G33</f>
        <v>#REF!</v>
      </c>
      <c r="L47" s="201"/>
      <c r="M47" s="12"/>
      <c r="N47" s="12"/>
      <c r="O47" s="12"/>
      <c r="P47" s="12"/>
      <c r="Q47" s="12"/>
      <c r="R47" s="12"/>
      <c r="S47" s="12"/>
      <c r="T47" s="12"/>
      <c r="U47" s="12"/>
      <c r="V47" s="12"/>
      <c r="W47" s="12"/>
      <c r="X47" s="12"/>
      <c r="Y47" s="12"/>
      <c r="Z47" s="12"/>
    </row>
    <row r="48" spans="1:26">
      <c r="A48" s="217" t="s">
        <v>280</v>
      </c>
      <c r="B48" s="201"/>
      <c r="C48" s="217" t="s">
        <v>281</v>
      </c>
      <c r="D48" s="201"/>
      <c r="E48" s="201"/>
      <c r="F48" s="201"/>
      <c r="G48" s="18" t="s">
        <v>24</v>
      </c>
      <c r="H48" s="219" t="e">
        <f>'[3]Management Review and Internal '!F34</f>
        <v>#REF!</v>
      </c>
      <c r="I48" s="201"/>
      <c r="J48" s="22" t="e">
        <f>'[3]Management Review and Internal '!H34</f>
        <v>#REF!</v>
      </c>
      <c r="K48" s="217" t="e">
        <f>'[3]Management Review and Internal '!G34</f>
        <v>#REF!</v>
      </c>
      <c r="L48" s="201"/>
      <c r="M48" s="12"/>
      <c r="N48" s="12"/>
      <c r="O48" s="12"/>
      <c r="P48" s="12"/>
      <c r="Q48" s="12"/>
      <c r="R48" s="12"/>
      <c r="S48" s="12"/>
      <c r="T48" s="12"/>
      <c r="U48" s="12"/>
      <c r="V48" s="12"/>
      <c r="W48" s="12"/>
      <c r="X48" s="12"/>
      <c r="Y48" s="12"/>
      <c r="Z48" s="12"/>
    </row>
    <row r="49" spans="1:26">
      <c r="A49" s="216" t="s">
        <v>282</v>
      </c>
      <c r="B49" s="201"/>
      <c r="C49" s="216" t="s">
        <v>283</v>
      </c>
      <c r="D49" s="201"/>
      <c r="E49" s="201"/>
      <c r="F49" s="201"/>
      <c r="G49" s="15" t="s">
        <v>284</v>
      </c>
      <c r="H49" s="218" t="e">
        <f>'[3]Management Review and Internal '!F32</f>
        <v>#REF!</v>
      </c>
      <c r="I49" s="201"/>
      <c r="J49" s="22" t="e">
        <f>'[3]Management Review and Internal '!H32</f>
        <v>#REF!</v>
      </c>
      <c r="K49" s="216" t="e">
        <f>'[3]Management Review and Internal '!G32</f>
        <v>#REF!</v>
      </c>
      <c r="L49" s="201"/>
      <c r="M49" s="12"/>
      <c r="N49" s="12"/>
      <c r="O49" s="12"/>
      <c r="P49" s="12"/>
      <c r="Q49" s="12"/>
      <c r="R49" s="12"/>
      <c r="S49" s="12"/>
      <c r="T49" s="12"/>
      <c r="U49" s="12"/>
      <c r="V49" s="12"/>
      <c r="W49" s="12"/>
      <c r="X49" s="12"/>
      <c r="Y49" s="12"/>
      <c r="Z49" s="12"/>
    </row>
    <row r="50" spans="1:26">
      <c r="A50" s="217" t="s">
        <v>285</v>
      </c>
      <c r="B50" s="201"/>
      <c r="C50" s="217" t="s">
        <v>286</v>
      </c>
      <c r="D50" s="201"/>
      <c r="E50" s="201"/>
      <c r="F50" s="201"/>
      <c r="G50" s="18" t="s">
        <v>24</v>
      </c>
      <c r="H50" s="219" t="e">
        <f>'[3]Management Review and Internal '!F35</f>
        <v>#REF!</v>
      </c>
      <c r="I50" s="201"/>
      <c r="J50" s="22" t="e">
        <f>'[3]Management Review and Internal '!H35</f>
        <v>#REF!</v>
      </c>
      <c r="K50" s="217" t="e">
        <f>'[3]Management Review and Internal '!G35</f>
        <v>#REF!</v>
      </c>
      <c r="L50" s="201"/>
      <c r="M50" s="12"/>
      <c r="N50" s="12"/>
      <c r="O50" s="12"/>
      <c r="P50" s="12"/>
      <c r="Q50" s="12"/>
      <c r="R50" s="12"/>
      <c r="S50" s="12"/>
      <c r="T50" s="12"/>
      <c r="U50" s="12"/>
      <c r="V50" s="12"/>
      <c r="W50" s="12"/>
      <c r="X50" s="12"/>
      <c r="Y50" s="12"/>
      <c r="Z50" s="12"/>
    </row>
    <row r="51" spans="1:26">
      <c r="A51" s="216" t="s">
        <v>287</v>
      </c>
      <c r="B51" s="201"/>
      <c r="C51" s="216" t="s">
        <v>288</v>
      </c>
      <c r="D51" s="201"/>
      <c r="E51" s="201"/>
      <c r="F51" s="201"/>
      <c r="G51" s="15" t="s">
        <v>181</v>
      </c>
      <c r="H51" s="218" t="e">
        <f>'[3]Management Review and Internal '!F37</f>
        <v>#REF!</v>
      </c>
      <c r="I51" s="201"/>
      <c r="J51" s="22" t="e">
        <f>'[3]Management Review and Internal '!H37</f>
        <v>#REF!</v>
      </c>
      <c r="K51" s="216" t="e">
        <f>'[3]Management Review and Internal '!G37</f>
        <v>#REF!</v>
      </c>
      <c r="L51" s="201"/>
      <c r="M51" s="12"/>
      <c r="N51" s="12"/>
      <c r="O51" s="12"/>
      <c r="P51" s="12"/>
      <c r="Q51" s="12"/>
      <c r="R51" s="12"/>
      <c r="S51" s="12"/>
      <c r="T51" s="12"/>
      <c r="U51" s="12"/>
      <c r="V51" s="12"/>
      <c r="W51" s="12"/>
      <c r="X51" s="12"/>
      <c r="Y51" s="12"/>
      <c r="Z51" s="12"/>
    </row>
    <row r="52" spans="1:26">
      <c r="A52" s="217" t="s">
        <v>289</v>
      </c>
      <c r="B52" s="201"/>
      <c r="C52" s="217" t="s">
        <v>290</v>
      </c>
      <c r="D52" s="201"/>
      <c r="E52" s="201"/>
      <c r="F52" s="201"/>
      <c r="G52" s="18" t="s">
        <v>173</v>
      </c>
      <c r="H52" s="219" t="e">
        <f>'[3]Management Review and Internal '!F36</f>
        <v>#REF!</v>
      </c>
      <c r="I52" s="201"/>
      <c r="J52" s="22" t="e">
        <f>'[3]Management Review and Internal '!H36</f>
        <v>#REF!</v>
      </c>
      <c r="K52" s="217" t="e">
        <f>'[3]Management Review and Internal '!G36</f>
        <v>#REF!</v>
      </c>
      <c r="L52" s="201"/>
      <c r="M52" s="12"/>
      <c r="N52" s="12"/>
      <c r="O52" s="12"/>
      <c r="P52" s="12"/>
      <c r="Q52" s="12"/>
      <c r="R52" s="12"/>
      <c r="S52" s="12"/>
      <c r="T52" s="12"/>
      <c r="U52" s="12"/>
      <c r="V52" s="12"/>
      <c r="W52" s="12"/>
      <c r="X52" s="12"/>
      <c r="Y52" s="12"/>
      <c r="Z52" s="12"/>
    </row>
    <row r="53" spans="1:26">
      <c r="A53" s="216" t="s">
        <v>291</v>
      </c>
      <c r="B53" s="201"/>
      <c r="C53" s="216" t="s">
        <v>292</v>
      </c>
      <c r="D53" s="201"/>
      <c r="E53" s="201"/>
      <c r="F53" s="201"/>
      <c r="G53" s="15" t="s">
        <v>68</v>
      </c>
      <c r="H53" s="218" t="e">
        <f>'[3]Management Review and Internal '!F24</f>
        <v>#REF!</v>
      </c>
      <c r="I53" s="201"/>
      <c r="J53" s="22" t="e">
        <f>'[3]Management Review and Internal '!H24</f>
        <v>#REF!</v>
      </c>
      <c r="K53" s="216" t="e">
        <f>'[3]Management Review and Internal '!G24</f>
        <v>#REF!</v>
      </c>
      <c r="L53" s="201"/>
      <c r="M53" s="12"/>
      <c r="N53" s="12"/>
      <c r="O53" s="12"/>
      <c r="P53" s="12"/>
      <c r="Q53" s="12"/>
      <c r="R53" s="12"/>
      <c r="S53" s="12"/>
      <c r="T53" s="12"/>
      <c r="U53" s="12"/>
      <c r="V53" s="12"/>
      <c r="W53" s="12"/>
      <c r="X53" s="12"/>
      <c r="Y53" s="12"/>
      <c r="Z53" s="12"/>
    </row>
    <row r="54" spans="1:26">
      <c r="A54" s="217" t="s">
        <v>293</v>
      </c>
      <c r="B54" s="201"/>
      <c r="C54" s="217" t="s">
        <v>294</v>
      </c>
      <c r="D54" s="201"/>
      <c r="E54" s="201"/>
      <c r="F54" s="201"/>
      <c r="G54" s="18" t="s">
        <v>150</v>
      </c>
      <c r="H54" s="219" t="e">
        <f>'[3]Management Review and Internal '!F31</f>
        <v>#REF!</v>
      </c>
      <c r="I54" s="201"/>
      <c r="J54" s="22" t="e">
        <f>'[3]Management Review and Internal '!H31</f>
        <v>#REF!</v>
      </c>
      <c r="K54" s="217" t="e">
        <f>'[3]Management Review and Internal '!G31</f>
        <v>#REF!</v>
      </c>
      <c r="L54" s="201"/>
      <c r="M54" s="12"/>
      <c r="N54" s="12"/>
      <c r="O54" s="12"/>
      <c r="P54" s="12"/>
      <c r="Q54" s="12"/>
      <c r="R54" s="12"/>
      <c r="S54" s="12"/>
      <c r="T54" s="12"/>
      <c r="U54" s="12"/>
      <c r="V54" s="12"/>
      <c r="W54" s="12"/>
      <c r="X54" s="12"/>
      <c r="Y54" s="12"/>
      <c r="Z54" s="12"/>
    </row>
    <row r="55" spans="1:26">
      <c r="A55" s="216" t="s">
        <v>295</v>
      </c>
      <c r="B55" s="201"/>
      <c r="C55" s="216" t="s">
        <v>296</v>
      </c>
      <c r="D55" s="201"/>
      <c r="E55" s="201"/>
      <c r="F55" s="201"/>
      <c r="G55" s="15" t="s">
        <v>173</v>
      </c>
      <c r="H55" s="218" t="e">
        <f>'[3]Management Review and Internal '!F27</f>
        <v>#REF!</v>
      </c>
      <c r="I55" s="201"/>
      <c r="J55" s="22" t="e">
        <f>'[3]Management Review and Internal '!H27</f>
        <v>#REF!</v>
      </c>
      <c r="K55" s="216" t="e">
        <f>'[3]Management Review and Internal '!G27</f>
        <v>#REF!</v>
      </c>
      <c r="L55" s="201"/>
      <c r="M55" s="12"/>
      <c r="N55" s="12"/>
      <c r="O55" s="12"/>
      <c r="P55" s="12"/>
      <c r="Q55" s="12"/>
      <c r="R55" s="12"/>
      <c r="S55" s="12"/>
      <c r="T55" s="12"/>
      <c r="U55" s="12"/>
      <c r="V55" s="12"/>
      <c r="W55" s="12"/>
      <c r="X55" s="12"/>
      <c r="Y55" s="12"/>
      <c r="Z55" s="12"/>
    </row>
    <row r="56" spans="1:26">
      <c r="A56" s="217" t="s">
        <v>297</v>
      </c>
      <c r="B56" s="201"/>
      <c r="C56" s="217" t="s">
        <v>298</v>
      </c>
      <c r="D56" s="201"/>
      <c r="E56" s="201"/>
      <c r="F56" s="201"/>
      <c r="G56" s="18" t="s">
        <v>299</v>
      </c>
      <c r="H56" s="219" t="e">
        <f>'[3]Management Review and Internal '!F28</f>
        <v>#REF!</v>
      </c>
      <c r="I56" s="201"/>
      <c r="J56" s="22" t="e">
        <f>'[3]Management Review and Internal '!H28</f>
        <v>#REF!</v>
      </c>
      <c r="K56" s="217" t="e">
        <f>'[3]Management Review and Internal '!G28</f>
        <v>#REF!</v>
      </c>
      <c r="L56" s="201"/>
      <c r="M56" s="12"/>
      <c r="N56" s="12"/>
      <c r="O56" s="12"/>
      <c r="P56" s="12"/>
      <c r="Q56" s="12"/>
      <c r="R56" s="12"/>
      <c r="S56" s="12"/>
      <c r="T56" s="12"/>
      <c r="U56" s="12"/>
      <c r="V56" s="12"/>
      <c r="W56" s="12"/>
      <c r="X56" s="12"/>
      <c r="Y56" s="12"/>
      <c r="Z56" s="12"/>
    </row>
    <row r="57" spans="1:26">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5.75">
      <c r="A58" s="203" t="s">
        <v>300</v>
      </c>
      <c r="B58" s="201"/>
      <c r="C58" s="201"/>
      <c r="D58" s="201"/>
      <c r="E58" s="201"/>
      <c r="F58" s="201"/>
      <c r="G58" s="201"/>
      <c r="H58" s="201"/>
      <c r="I58" s="201"/>
      <c r="J58" s="201"/>
      <c r="K58" s="201"/>
      <c r="L58" s="201"/>
      <c r="M58" s="12"/>
      <c r="N58" s="12"/>
      <c r="O58" s="12"/>
      <c r="P58" s="12"/>
      <c r="Q58" s="12"/>
      <c r="R58" s="12"/>
      <c r="S58" s="12"/>
      <c r="T58" s="12"/>
      <c r="U58" s="12"/>
      <c r="V58" s="12"/>
      <c r="W58" s="12"/>
      <c r="X58" s="12"/>
      <c r="Y58" s="12"/>
      <c r="Z58" s="12"/>
    </row>
    <row r="59" spans="1:26">
      <c r="A59" s="204" t="s">
        <v>301</v>
      </c>
      <c r="B59" s="201"/>
      <c r="C59" s="201"/>
      <c r="D59" s="201"/>
      <c r="E59" s="201"/>
      <c r="F59" s="201"/>
      <c r="G59" s="14" t="s">
        <v>302</v>
      </c>
      <c r="H59" s="14" t="s">
        <v>303</v>
      </c>
      <c r="I59" s="14" t="s">
        <v>304</v>
      </c>
      <c r="J59" s="204" t="s">
        <v>17</v>
      </c>
      <c r="K59" s="201"/>
      <c r="L59" s="201"/>
      <c r="M59" s="12"/>
      <c r="N59" s="12"/>
      <c r="O59" s="12"/>
      <c r="P59" s="12"/>
      <c r="Q59" s="12"/>
      <c r="R59" s="12"/>
      <c r="S59" s="12"/>
      <c r="T59" s="12"/>
      <c r="U59" s="12"/>
      <c r="V59" s="12"/>
      <c r="W59" s="12"/>
      <c r="X59" s="12"/>
      <c r="Y59" s="12"/>
      <c r="Z59" s="12"/>
    </row>
    <row r="60" spans="1:26">
      <c r="A60" s="216" t="s">
        <v>305</v>
      </c>
      <c r="B60" s="201"/>
      <c r="C60" s="201"/>
      <c r="D60" s="201"/>
      <c r="E60" s="201"/>
      <c r="F60" s="201"/>
      <c r="G60" s="24">
        <f>'Maturity Assessment'!D5</f>
        <v>4</v>
      </c>
      <c r="H60" s="25">
        <f>'Maturity Assessment'!F5</f>
        <v>5</v>
      </c>
      <c r="I60" s="26">
        <f>'Maturity Assessment'!H5</f>
        <v>1</v>
      </c>
      <c r="J60" s="216" t="s">
        <v>284</v>
      </c>
      <c r="K60" s="201"/>
      <c r="L60" s="201"/>
      <c r="M60" s="12"/>
      <c r="N60" s="12"/>
      <c r="O60" s="12"/>
      <c r="P60" s="12"/>
      <c r="Q60" s="12"/>
      <c r="R60" s="12"/>
      <c r="S60" s="12"/>
      <c r="T60" s="12"/>
      <c r="U60" s="12"/>
      <c r="V60" s="12"/>
      <c r="W60" s="12"/>
      <c r="X60" s="12"/>
      <c r="Y60" s="12"/>
      <c r="Z60" s="12"/>
    </row>
    <row r="61" spans="1:26">
      <c r="A61" s="217" t="s">
        <v>306</v>
      </c>
      <c r="B61" s="201"/>
      <c r="C61" s="201"/>
      <c r="D61" s="201"/>
      <c r="E61" s="201"/>
      <c r="F61" s="201"/>
      <c r="G61" s="26">
        <f>'Maturity Assessment'!D6</f>
        <v>3</v>
      </c>
      <c r="H61" s="24">
        <f>'Maturity Assessment'!F6</f>
        <v>4</v>
      </c>
      <c r="I61" s="26">
        <f>'Maturity Assessment'!H6</f>
        <v>1</v>
      </c>
      <c r="J61" s="217" t="s">
        <v>37</v>
      </c>
      <c r="K61" s="201"/>
      <c r="L61" s="201"/>
      <c r="M61" s="12"/>
      <c r="N61" s="12"/>
      <c r="O61" s="12"/>
      <c r="P61" s="12"/>
      <c r="Q61" s="12"/>
      <c r="R61" s="12"/>
      <c r="S61" s="12"/>
      <c r="T61" s="12"/>
      <c r="U61" s="12"/>
      <c r="V61" s="12"/>
      <c r="W61" s="12"/>
      <c r="X61" s="12"/>
      <c r="Y61" s="12"/>
      <c r="Z61" s="12"/>
    </row>
    <row r="62" spans="1:26">
      <c r="A62" s="216" t="s">
        <v>307</v>
      </c>
      <c r="B62" s="201"/>
      <c r="C62" s="201"/>
      <c r="D62" s="201"/>
      <c r="E62" s="201"/>
      <c r="F62" s="201"/>
      <c r="G62" s="24">
        <f>'Maturity Assessment'!D7</f>
        <v>4</v>
      </c>
      <c r="H62" s="25">
        <f>'Maturity Assessment'!F7</f>
        <v>5</v>
      </c>
      <c r="I62" s="26">
        <f>'Maturity Assessment'!H7</f>
        <v>1</v>
      </c>
      <c r="J62" s="216" t="s">
        <v>173</v>
      </c>
      <c r="K62" s="201"/>
      <c r="L62" s="201"/>
      <c r="M62" s="12"/>
      <c r="N62" s="12"/>
      <c r="O62" s="12"/>
      <c r="P62" s="12"/>
      <c r="Q62" s="12"/>
      <c r="R62" s="12"/>
      <c r="S62" s="12"/>
      <c r="T62" s="12"/>
      <c r="U62" s="12"/>
      <c r="V62" s="12"/>
      <c r="W62" s="12"/>
      <c r="X62" s="12"/>
      <c r="Y62" s="12"/>
      <c r="Z62" s="12"/>
    </row>
    <row r="63" spans="1:26">
      <c r="A63" s="217" t="s">
        <v>308</v>
      </c>
      <c r="B63" s="201"/>
      <c r="C63" s="201"/>
      <c r="D63" s="201"/>
      <c r="E63" s="201"/>
      <c r="F63" s="201"/>
      <c r="G63" s="26">
        <f>'Maturity Assessment'!D8</f>
        <v>3</v>
      </c>
      <c r="H63" s="24">
        <f>'Maturity Assessment'!F8</f>
        <v>4</v>
      </c>
      <c r="I63" s="26">
        <f>'Maturity Assessment'!H8</f>
        <v>1</v>
      </c>
      <c r="J63" s="217" t="s">
        <v>262</v>
      </c>
      <c r="K63" s="201"/>
      <c r="L63" s="201"/>
      <c r="M63" s="12"/>
      <c r="N63" s="12"/>
      <c r="O63" s="12"/>
      <c r="P63" s="12"/>
      <c r="Q63" s="12"/>
      <c r="R63" s="12"/>
      <c r="S63" s="12"/>
      <c r="T63" s="12"/>
      <c r="U63" s="12"/>
      <c r="V63" s="12"/>
      <c r="W63" s="12"/>
      <c r="X63" s="12"/>
      <c r="Y63" s="12"/>
      <c r="Z63" s="12"/>
    </row>
    <row r="64" spans="1:26">
      <c r="A64" s="216" t="s">
        <v>309</v>
      </c>
      <c r="B64" s="201"/>
      <c r="C64" s="201"/>
      <c r="D64" s="201"/>
      <c r="E64" s="201"/>
      <c r="F64" s="201"/>
      <c r="G64" s="26">
        <f>'Maturity Assessment'!D9</f>
        <v>3</v>
      </c>
      <c r="H64" s="24">
        <f>'Maturity Assessment'!F9</f>
        <v>4</v>
      </c>
      <c r="I64" s="26">
        <f>'Maturity Assessment'!H9</f>
        <v>1</v>
      </c>
      <c r="J64" s="216" t="s">
        <v>68</v>
      </c>
      <c r="K64" s="201"/>
      <c r="L64" s="201"/>
      <c r="M64" s="12"/>
      <c r="N64" s="12"/>
      <c r="O64" s="12"/>
      <c r="P64" s="12"/>
      <c r="Q64" s="12"/>
      <c r="R64" s="12"/>
      <c r="S64" s="12"/>
      <c r="T64" s="12"/>
      <c r="U64" s="12"/>
      <c r="V64" s="12"/>
      <c r="W64" s="12"/>
      <c r="X64" s="12"/>
      <c r="Y64" s="12"/>
      <c r="Z64" s="12"/>
    </row>
    <row r="65" spans="1:26">
      <c r="A65" s="217" t="s">
        <v>310</v>
      </c>
      <c r="B65" s="201"/>
      <c r="C65" s="201"/>
      <c r="D65" s="201"/>
      <c r="E65" s="201"/>
      <c r="F65" s="201"/>
      <c r="G65" s="26">
        <f>'Maturity Assessment'!D10</f>
        <v>3</v>
      </c>
      <c r="H65" s="24">
        <f>'Maturity Assessment'!F10</f>
        <v>4</v>
      </c>
      <c r="I65" s="26">
        <f>'Maturity Assessment'!H10</f>
        <v>1</v>
      </c>
      <c r="J65" s="217" t="s">
        <v>24</v>
      </c>
      <c r="K65" s="201"/>
      <c r="L65" s="201"/>
      <c r="M65" s="12"/>
      <c r="N65" s="12"/>
      <c r="O65" s="12"/>
      <c r="P65" s="12"/>
      <c r="Q65" s="12"/>
      <c r="R65" s="12"/>
      <c r="S65" s="12"/>
      <c r="T65" s="12"/>
      <c r="U65" s="12"/>
      <c r="V65" s="12"/>
      <c r="W65" s="12"/>
      <c r="X65" s="12"/>
      <c r="Y65" s="12"/>
      <c r="Z65" s="12"/>
    </row>
    <row r="66" spans="1:26">
      <c r="A66" s="216" t="s">
        <v>311</v>
      </c>
      <c r="B66" s="201"/>
      <c r="C66" s="201"/>
      <c r="D66" s="201"/>
      <c r="E66" s="201"/>
      <c r="F66" s="201"/>
      <c r="G66" s="26">
        <f>'Maturity Assessment'!D11</f>
        <v>3</v>
      </c>
      <c r="H66" s="24">
        <f>'Maturity Assessment'!F11</f>
        <v>4</v>
      </c>
      <c r="I66" s="26">
        <f>'Maturity Assessment'!H11</f>
        <v>1</v>
      </c>
      <c r="J66" s="216" t="s">
        <v>181</v>
      </c>
      <c r="K66" s="201"/>
      <c r="L66" s="201"/>
      <c r="M66" s="12"/>
      <c r="N66" s="12"/>
      <c r="O66" s="12"/>
      <c r="P66" s="12"/>
      <c r="Q66" s="12"/>
      <c r="R66" s="12"/>
      <c r="S66" s="12"/>
      <c r="T66" s="12"/>
      <c r="U66" s="12"/>
      <c r="V66" s="12"/>
      <c r="W66" s="12"/>
      <c r="X66" s="12"/>
      <c r="Y66" s="12"/>
      <c r="Z66" s="12"/>
    </row>
    <row r="67" spans="1:26">
      <c r="A67" s="217" t="s">
        <v>312</v>
      </c>
      <c r="B67" s="201"/>
      <c r="C67" s="201"/>
      <c r="D67" s="201"/>
      <c r="E67" s="201"/>
      <c r="F67" s="201"/>
      <c r="G67" s="26">
        <f>'Maturity Assessment'!D12</f>
        <v>3</v>
      </c>
      <c r="H67" s="24">
        <f>'Maturity Assessment'!F12</f>
        <v>4</v>
      </c>
      <c r="I67" s="26">
        <f>'Maturity Assessment'!H12</f>
        <v>1</v>
      </c>
      <c r="J67" s="217" t="s">
        <v>313</v>
      </c>
      <c r="K67" s="201"/>
      <c r="L67" s="201"/>
      <c r="M67" s="12"/>
      <c r="N67" s="12"/>
      <c r="O67" s="12"/>
      <c r="P67" s="12"/>
      <c r="Q67" s="12"/>
      <c r="R67" s="12"/>
      <c r="S67" s="12"/>
      <c r="T67" s="12"/>
      <c r="U67" s="12"/>
      <c r="V67" s="12"/>
      <c r="W67" s="12"/>
      <c r="X67" s="12"/>
      <c r="Y67" s="12"/>
      <c r="Z67" s="12"/>
    </row>
    <row r="68" spans="1:26">
      <c r="A68" s="216" t="s">
        <v>314</v>
      </c>
      <c r="B68" s="201"/>
      <c r="C68" s="201"/>
      <c r="D68" s="201"/>
      <c r="E68" s="201"/>
      <c r="F68" s="201"/>
      <c r="G68" s="26">
        <f>'Maturity Assessment'!D13</f>
        <v>3</v>
      </c>
      <c r="H68" s="24">
        <f>'Maturity Assessment'!F13</f>
        <v>4</v>
      </c>
      <c r="I68" s="26">
        <f>'Maturity Assessment'!H13</f>
        <v>1</v>
      </c>
      <c r="J68" s="216" t="s">
        <v>24</v>
      </c>
      <c r="K68" s="201"/>
      <c r="L68" s="201"/>
      <c r="M68" s="12"/>
      <c r="N68" s="12"/>
      <c r="O68" s="12"/>
      <c r="P68" s="12"/>
      <c r="Q68" s="12"/>
      <c r="R68" s="12"/>
      <c r="S68" s="12"/>
      <c r="T68" s="12"/>
      <c r="U68" s="12"/>
      <c r="V68" s="12"/>
      <c r="W68" s="12"/>
      <c r="X68" s="12"/>
      <c r="Y68" s="12"/>
      <c r="Z68" s="12"/>
    </row>
    <row r="69" spans="1:26">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5.75">
      <c r="A70" s="203" t="s">
        <v>315</v>
      </c>
      <c r="B70" s="201"/>
      <c r="C70" s="201"/>
      <c r="D70" s="201"/>
      <c r="E70" s="201"/>
      <c r="F70" s="201"/>
      <c r="G70" s="201"/>
      <c r="H70" s="201"/>
      <c r="I70" s="201"/>
      <c r="J70" s="201"/>
      <c r="K70" s="201"/>
      <c r="L70" s="201"/>
      <c r="M70" s="12"/>
      <c r="N70" s="12"/>
      <c r="O70" s="12"/>
      <c r="P70" s="12"/>
      <c r="Q70" s="12"/>
      <c r="R70" s="12"/>
      <c r="S70" s="12"/>
      <c r="T70" s="12"/>
      <c r="U70" s="12"/>
      <c r="V70" s="12"/>
      <c r="W70" s="12"/>
      <c r="X70" s="12"/>
      <c r="Y70" s="12"/>
      <c r="Z70" s="12"/>
    </row>
    <row r="71" spans="1:26">
      <c r="A71" s="220" t="s">
        <v>316</v>
      </c>
      <c r="B71" s="201"/>
      <c r="C71" s="201"/>
      <c r="D71" s="201"/>
      <c r="E71" s="201"/>
      <c r="F71" s="201"/>
      <c r="G71" s="201"/>
      <c r="H71" s="201"/>
      <c r="I71" s="201"/>
      <c r="J71" s="201"/>
      <c r="K71" s="201"/>
      <c r="L71" s="201"/>
      <c r="M71" s="12"/>
      <c r="N71" s="12"/>
      <c r="O71" s="12"/>
      <c r="P71" s="12"/>
      <c r="Q71" s="12"/>
      <c r="R71" s="12"/>
      <c r="S71" s="12"/>
      <c r="T71" s="12"/>
      <c r="U71" s="12"/>
      <c r="V71" s="12"/>
      <c r="W71" s="12"/>
      <c r="X71" s="12"/>
      <c r="Y71" s="12"/>
      <c r="Z71" s="12"/>
    </row>
    <row r="72" spans="1:26">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5.75">
      <c r="A73" s="203" t="s">
        <v>317</v>
      </c>
      <c r="B73" s="201"/>
      <c r="C73" s="201"/>
      <c r="D73" s="201"/>
      <c r="E73" s="201"/>
      <c r="F73" s="201"/>
      <c r="G73" s="201"/>
      <c r="H73" s="201"/>
      <c r="I73" s="201"/>
      <c r="J73" s="201"/>
      <c r="K73" s="201"/>
      <c r="L73" s="201"/>
      <c r="M73" s="12"/>
      <c r="N73" s="12"/>
      <c r="O73" s="12"/>
      <c r="P73" s="12"/>
      <c r="Q73" s="12"/>
      <c r="R73" s="12"/>
      <c r="S73" s="12"/>
      <c r="T73" s="12"/>
      <c r="U73" s="12"/>
      <c r="V73" s="12"/>
      <c r="W73" s="12"/>
      <c r="X73" s="12"/>
      <c r="Y73" s="12"/>
      <c r="Z73" s="12"/>
    </row>
    <row r="74" spans="1:26">
      <c r="A74" s="27" t="s">
        <v>318</v>
      </c>
      <c r="B74" s="27" t="s">
        <v>319</v>
      </c>
      <c r="C74" s="27" t="s">
        <v>320</v>
      </c>
      <c r="D74" s="27" t="s">
        <v>321</v>
      </c>
      <c r="E74" s="27" t="s">
        <v>322</v>
      </c>
      <c r="F74" s="27" t="s">
        <v>323</v>
      </c>
      <c r="G74" s="27" t="s">
        <v>6</v>
      </c>
      <c r="H74" s="27" t="s">
        <v>8</v>
      </c>
      <c r="I74" s="27" t="s">
        <v>324</v>
      </c>
      <c r="J74" s="27" t="s">
        <v>325</v>
      </c>
      <c r="K74" s="27" t="s">
        <v>326</v>
      </c>
      <c r="L74" s="27" t="s">
        <v>327</v>
      </c>
      <c r="M74" s="12"/>
      <c r="N74" s="12"/>
      <c r="O74" s="12"/>
      <c r="P74" s="12"/>
      <c r="Q74" s="12"/>
      <c r="R74" s="12"/>
      <c r="S74" s="12"/>
      <c r="T74" s="12"/>
      <c r="U74" s="12"/>
      <c r="V74" s="12"/>
      <c r="W74" s="12"/>
      <c r="X74" s="12"/>
      <c r="Y74" s="12"/>
      <c r="Z74" s="12"/>
    </row>
    <row r="75" spans="1:26">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5.75">
      <c r="A77" s="221" t="s">
        <v>328</v>
      </c>
      <c r="B77" s="201"/>
      <c r="C77" s="201"/>
      <c r="D77" s="201"/>
      <c r="E77" s="201"/>
      <c r="F77" s="201"/>
      <c r="G77" s="201"/>
      <c r="H77" s="201"/>
      <c r="I77" s="201"/>
      <c r="J77" s="201"/>
      <c r="K77" s="201"/>
      <c r="L77" s="201"/>
      <c r="M77" s="12"/>
      <c r="N77" s="12"/>
      <c r="O77" s="12"/>
      <c r="P77" s="12"/>
      <c r="Q77" s="12"/>
      <c r="R77" s="12"/>
      <c r="S77" s="12"/>
      <c r="T77" s="12"/>
      <c r="U77" s="12"/>
      <c r="V77" s="12"/>
      <c r="W77" s="12"/>
      <c r="X77" s="12"/>
      <c r="Y77" s="12"/>
      <c r="Z77" s="12"/>
    </row>
    <row r="78" spans="1:26">
      <c r="A78" s="194" t="s">
        <v>254</v>
      </c>
      <c r="B78" s="194"/>
      <c r="C78" s="194" t="s">
        <v>255</v>
      </c>
      <c r="D78" s="194"/>
      <c r="E78" s="194"/>
      <c r="F78" s="194"/>
      <c r="G78" s="2" t="s">
        <v>256</v>
      </c>
      <c r="H78" s="2" t="s">
        <v>257</v>
      </c>
      <c r="I78" s="194" t="s">
        <v>258</v>
      </c>
      <c r="J78" s="194"/>
      <c r="K78" s="194" t="s">
        <v>17</v>
      </c>
      <c r="L78" s="194"/>
      <c r="M78" s="12"/>
      <c r="N78" s="12"/>
      <c r="O78" s="12"/>
      <c r="P78" s="12"/>
      <c r="Q78" s="12"/>
      <c r="R78" s="12"/>
      <c r="S78" s="12"/>
      <c r="T78" s="12"/>
      <c r="U78" s="12"/>
      <c r="V78" s="12"/>
      <c r="W78" s="12"/>
      <c r="X78" s="12"/>
      <c r="Y78" s="12"/>
      <c r="Z78" s="12"/>
    </row>
    <row r="79" spans="1:26">
      <c r="A79" s="222" t="s">
        <v>259</v>
      </c>
      <c r="B79" s="222"/>
      <c r="C79" s="222" t="s">
        <v>260</v>
      </c>
      <c r="D79" s="222"/>
      <c r="E79" s="222"/>
      <c r="F79" s="222"/>
      <c r="G79" s="29">
        <f>'Risk Quantification'!K15</f>
        <v>10</v>
      </c>
      <c r="H79" s="30">
        <f>'Risk Quantification'!L15</f>
        <v>7.5</v>
      </c>
      <c r="I79" s="222" t="str">
        <f>'Risk Quantification'!M15</f>
        <v>Mitigate</v>
      </c>
      <c r="J79" s="222"/>
      <c r="K79" s="222" t="s">
        <v>262</v>
      </c>
      <c r="L79" s="222"/>
      <c r="M79" s="12"/>
      <c r="N79" s="12"/>
      <c r="O79" s="12"/>
      <c r="P79" s="12"/>
      <c r="Q79" s="12"/>
      <c r="R79" s="12"/>
      <c r="S79" s="12"/>
      <c r="T79" s="12"/>
      <c r="U79" s="12"/>
      <c r="V79" s="12"/>
      <c r="W79" s="12"/>
      <c r="X79" s="12"/>
      <c r="Y79" s="12"/>
      <c r="Z79" s="12"/>
    </row>
    <row r="80" spans="1:26">
      <c r="A80" s="223" t="s">
        <v>263</v>
      </c>
      <c r="B80" s="223"/>
      <c r="C80" s="223" t="s">
        <v>264</v>
      </c>
      <c r="D80" s="223"/>
      <c r="E80" s="223"/>
      <c r="F80" s="223"/>
      <c r="G80" s="32">
        <f>'Risk Quantification'!K5</f>
        <v>8</v>
      </c>
      <c r="H80" s="33">
        <f>'Risk Quantification'!L5</f>
        <v>6.5</v>
      </c>
      <c r="I80" s="223" t="str">
        <f>'Risk Quantification'!M5</f>
        <v>Mitigate</v>
      </c>
      <c r="J80" s="223"/>
      <c r="K80" s="223" t="s">
        <v>68</v>
      </c>
      <c r="L80" s="223"/>
      <c r="M80" s="12"/>
      <c r="N80" s="12"/>
      <c r="O80" s="12"/>
      <c r="P80" s="12"/>
      <c r="Q80" s="12"/>
      <c r="R80" s="12"/>
      <c r="S80" s="12"/>
      <c r="T80" s="12"/>
      <c r="U80" s="12"/>
      <c r="V80" s="12"/>
      <c r="W80" s="12"/>
      <c r="X80" s="12"/>
      <c r="Y80" s="12"/>
      <c r="Z80" s="12"/>
    </row>
    <row r="81" spans="1:12">
      <c r="A81" s="222" t="s">
        <v>265</v>
      </c>
      <c r="B81" s="222"/>
      <c r="C81" s="222" t="s">
        <v>266</v>
      </c>
      <c r="D81" s="222"/>
      <c r="E81" s="222"/>
      <c r="F81" s="222"/>
      <c r="G81" s="29">
        <f>'Risk Quantification'!K14</f>
        <v>10</v>
      </c>
      <c r="H81" s="30">
        <f>'Risk Quantification'!L14</f>
        <v>6</v>
      </c>
      <c r="I81" s="222" t="str">
        <f>'Risk Quantification'!M14</f>
        <v>Mitigate</v>
      </c>
      <c r="J81" s="222"/>
      <c r="K81" s="222" t="s">
        <v>173</v>
      </c>
      <c r="L81" s="222"/>
    </row>
    <row r="82" spans="1:12">
      <c r="A82" s="223" t="s">
        <v>267</v>
      </c>
      <c r="B82" s="223"/>
      <c r="C82" s="223" t="s">
        <v>268</v>
      </c>
      <c r="D82" s="223"/>
      <c r="E82" s="223"/>
      <c r="F82" s="223"/>
      <c r="G82" s="32">
        <f>'Risk Quantification'!K8</f>
        <v>8</v>
      </c>
      <c r="H82" s="33">
        <f>'Risk Quantification'!L8</f>
        <v>5.5</v>
      </c>
      <c r="I82" s="223" t="str">
        <f>'Risk Quantification'!M8</f>
        <v>Mitigate</v>
      </c>
      <c r="J82" s="223"/>
      <c r="K82" s="223" t="s">
        <v>269</v>
      </c>
      <c r="L82" s="223"/>
    </row>
    <row r="83" spans="1:12">
      <c r="A83" s="222" t="s">
        <v>270</v>
      </c>
      <c r="B83" s="222"/>
      <c r="C83" s="222" t="s">
        <v>271</v>
      </c>
      <c r="D83" s="222"/>
      <c r="E83" s="222"/>
      <c r="F83" s="222"/>
      <c r="G83" s="29">
        <f>'Risk Quantification'!K9</f>
        <v>8</v>
      </c>
      <c r="H83" s="30">
        <f>'Risk Quantification'!L9</f>
        <v>4.8</v>
      </c>
      <c r="I83" s="222" t="str">
        <f>'Risk Quantification'!M9</f>
        <v>Mitigate</v>
      </c>
      <c r="J83" s="222"/>
      <c r="K83" s="222" t="s">
        <v>150</v>
      </c>
      <c r="L83" s="222"/>
    </row>
    <row r="84" spans="1:12"/>
    <row r="85" spans="1:12" ht="15.75">
      <c r="A85" s="221" t="s">
        <v>329</v>
      </c>
      <c r="B85" s="191"/>
      <c r="C85" s="191"/>
      <c r="D85" s="191"/>
      <c r="E85" s="191"/>
      <c r="F85" s="191"/>
      <c r="G85" s="191"/>
      <c r="H85" s="191"/>
      <c r="I85" s="191"/>
      <c r="J85" s="191"/>
      <c r="K85" s="191"/>
      <c r="L85" s="191"/>
    </row>
    <row r="86" spans="1:12">
      <c r="A86" s="194" t="s">
        <v>330</v>
      </c>
      <c r="B86" s="194"/>
      <c r="C86" s="194" t="s">
        <v>331</v>
      </c>
      <c r="D86" s="194"/>
      <c r="E86" s="194"/>
      <c r="F86" s="194"/>
      <c r="G86" s="2" t="s">
        <v>332</v>
      </c>
      <c r="H86" s="194" t="s">
        <v>333</v>
      </c>
      <c r="I86" s="194"/>
      <c r="J86" s="194" t="s">
        <v>334</v>
      </c>
      <c r="K86" s="194"/>
      <c r="L86" s="194"/>
    </row>
    <row r="87" spans="1:12">
      <c r="A87" s="222" t="s">
        <v>335</v>
      </c>
      <c r="B87" s="222"/>
      <c r="C87" s="222" t="s">
        <v>336</v>
      </c>
      <c r="D87" s="222"/>
      <c r="E87" s="222"/>
      <c r="F87" s="222"/>
      <c r="G87" s="34" t="s">
        <v>337</v>
      </c>
      <c r="H87" s="224" t="s">
        <v>338</v>
      </c>
      <c r="I87" s="224"/>
      <c r="J87" s="222" t="s">
        <v>339</v>
      </c>
      <c r="K87" s="222"/>
      <c r="L87" s="222"/>
    </row>
    <row r="88" spans="1:12">
      <c r="A88" s="223" t="s">
        <v>340</v>
      </c>
      <c r="B88" s="223"/>
      <c r="C88" s="223" t="s">
        <v>341</v>
      </c>
      <c r="D88" s="223"/>
      <c r="E88" s="223"/>
      <c r="F88" s="223"/>
      <c r="G88" s="34" t="s">
        <v>337</v>
      </c>
      <c r="H88" s="225" t="s">
        <v>338</v>
      </c>
      <c r="I88" s="225"/>
      <c r="J88" s="223" t="s">
        <v>342</v>
      </c>
      <c r="K88" s="223"/>
      <c r="L88" s="223"/>
    </row>
    <row r="89" spans="1:12">
      <c r="A89" s="222" t="s">
        <v>343</v>
      </c>
      <c r="B89" s="222"/>
      <c r="C89" s="222" t="s">
        <v>344</v>
      </c>
      <c r="D89" s="222"/>
      <c r="E89" s="222"/>
      <c r="F89" s="222"/>
      <c r="G89" s="35" t="s">
        <v>345</v>
      </c>
      <c r="H89" s="224" t="s">
        <v>346</v>
      </c>
      <c r="I89" s="224"/>
      <c r="J89" s="222" t="s">
        <v>347</v>
      </c>
      <c r="K89" s="222"/>
      <c r="L89" s="222"/>
    </row>
    <row r="90" spans="1:12">
      <c r="A90" s="223" t="s">
        <v>348</v>
      </c>
      <c r="B90" s="223"/>
      <c r="C90" s="223" t="s">
        <v>349</v>
      </c>
      <c r="D90" s="223"/>
      <c r="E90" s="223"/>
      <c r="F90" s="223"/>
      <c r="G90" s="34" t="s">
        <v>337</v>
      </c>
      <c r="H90" s="225" t="s">
        <v>346</v>
      </c>
      <c r="I90" s="225"/>
      <c r="J90" s="223" t="s">
        <v>350</v>
      </c>
      <c r="K90" s="223"/>
      <c r="L90" s="223"/>
    </row>
    <row r="91" spans="1:12">
      <c r="A91" s="222" t="s">
        <v>351</v>
      </c>
      <c r="B91" s="222"/>
      <c r="C91" s="222" t="s">
        <v>352</v>
      </c>
      <c r="D91" s="222"/>
      <c r="E91" s="222"/>
      <c r="F91" s="222"/>
      <c r="G91" s="35" t="s">
        <v>345</v>
      </c>
      <c r="H91" s="224" t="s">
        <v>346</v>
      </c>
      <c r="I91" s="224"/>
      <c r="J91" s="222" t="s">
        <v>353</v>
      </c>
      <c r="K91" s="222"/>
      <c r="L91" s="222"/>
    </row>
    <row r="92" spans="1:12"/>
    <row r="93" spans="1:12" ht="15.75">
      <c r="A93" s="221" t="s">
        <v>354</v>
      </c>
      <c r="B93" s="191"/>
      <c r="C93" s="191"/>
      <c r="D93" s="191"/>
      <c r="E93" s="191"/>
      <c r="F93" s="191"/>
      <c r="G93" s="191"/>
      <c r="H93" s="191"/>
      <c r="I93" s="191"/>
      <c r="J93" s="191"/>
      <c r="K93" s="191"/>
      <c r="L93" s="191"/>
    </row>
    <row r="94" spans="1:12">
      <c r="A94" s="226" t="str">
        <f>"There are "&amp;(COUNTIF('Incident Analysis'!D5:D12,"Sev 1")+COUNTIF('Incident Analysis'!D5:D12,"Sev 2"))&amp;" Sev 1 or Sev 2 incidents in the rolling 90-day window. "&amp;(COUNTIF('Incident Analysis'!M5:M12,"Open")+COUNTIF('Incident Analysis'!M5:M12,"Under Review"))&amp;" currently open or under review. All eight closed PIRs subject to effectiveness review at MR-2026-Q2."</f>
        <v>There are 4 Sev 1 or Sev 2 incidents in the rolling 90-day window. 0 currently open or under review. All eight closed PIRs subject to effectiveness review at MR-2026-Q2.</v>
      </c>
      <c r="B94" s="191"/>
      <c r="C94" s="191"/>
      <c r="D94" s="191"/>
      <c r="E94" s="191"/>
      <c r="F94" s="191"/>
      <c r="G94" s="191"/>
      <c r="H94" s="191"/>
      <c r="I94" s="191"/>
      <c r="J94" s="191"/>
      <c r="K94" s="191"/>
      <c r="L94" s="191"/>
    </row>
    <row r="95" spans="1:12"/>
    <row r="96" spans="1:12" ht="15.75">
      <c r="A96" s="221" t="s">
        <v>355</v>
      </c>
      <c r="B96" s="191"/>
      <c r="C96" s="191"/>
      <c r="D96" s="191"/>
      <c r="E96" s="191"/>
      <c r="F96" s="191"/>
      <c r="G96" s="191"/>
      <c r="H96" s="191"/>
      <c r="I96" s="191"/>
      <c r="J96" s="191"/>
      <c r="K96" s="191"/>
      <c r="L96" s="191"/>
    </row>
    <row r="97" spans="1:12">
      <c r="A97" s="194" t="s">
        <v>273</v>
      </c>
      <c r="B97" s="191"/>
      <c r="C97" s="194" t="s">
        <v>274</v>
      </c>
      <c r="D97" s="191"/>
      <c r="E97" s="191"/>
      <c r="F97" s="191"/>
      <c r="G97" s="2" t="s">
        <v>17</v>
      </c>
      <c r="H97" s="194" t="s">
        <v>275</v>
      </c>
      <c r="I97" s="191"/>
      <c r="J97" s="2" t="s">
        <v>276</v>
      </c>
      <c r="K97" s="194" t="s">
        <v>277</v>
      </c>
      <c r="L97" s="191"/>
    </row>
    <row r="98" spans="1:12">
      <c r="A98" s="227" t="s">
        <v>282</v>
      </c>
      <c r="B98" s="191"/>
      <c r="C98" s="227" t="s">
        <v>283</v>
      </c>
      <c r="D98" s="191"/>
      <c r="E98" s="191"/>
      <c r="F98" s="191"/>
      <c r="G98" s="36" t="s">
        <v>284</v>
      </c>
      <c r="H98" s="228" t="e">
        <f>'[3]Management Review and Internal '!F32</f>
        <v>#REF!</v>
      </c>
      <c r="I98" s="229"/>
      <c r="J98" s="34" t="e">
        <f>'[3]Management Review and Internal '!H32</f>
        <v>#REF!</v>
      </c>
      <c r="K98" s="224" t="e">
        <f>'[3]Management Review and Internal '!G32</f>
        <v>#REF!</v>
      </c>
      <c r="L98" s="191"/>
    </row>
    <row r="99" spans="1:12">
      <c r="A99" s="230" t="s">
        <v>278</v>
      </c>
      <c r="B99" s="191"/>
      <c r="C99" s="230" t="s">
        <v>356</v>
      </c>
      <c r="D99" s="191"/>
      <c r="E99" s="191"/>
      <c r="F99" s="191"/>
      <c r="G99" s="39" t="s">
        <v>262</v>
      </c>
      <c r="H99" s="231" t="e">
        <f>'[3]Management Review and Internal '!F33</f>
        <v>#REF!</v>
      </c>
      <c r="I99" s="229"/>
      <c r="J99" s="34" t="e">
        <f>'[3]Management Review and Internal '!H33</f>
        <v>#REF!</v>
      </c>
      <c r="K99" s="225" t="e">
        <f>'[3]Management Review and Internal '!G33</f>
        <v>#REF!</v>
      </c>
      <c r="L99" s="191"/>
    </row>
    <row r="100" spans="1:12">
      <c r="A100" s="227" t="s">
        <v>280</v>
      </c>
      <c r="B100" s="191"/>
      <c r="C100" s="227" t="s">
        <v>357</v>
      </c>
      <c r="D100" s="191"/>
      <c r="E100" s="191"/>
      <c r="F100" s="191"/>
      <c r="G100" s="36" t="s">
        <v>24</v>
      </c>
      <c r="H100" s="228" t="e">
        <f>'[3]Management Review and Internal '!F34</f>
        <v>#REF!</v>
      </c>
      <c r="I100" s="229"/>
      <c r="J100" s="34" t="e">
        <f>'[3]Management Review and Internal '!H34</f>
        <v>#REF!</v>
      </c>
      <c r="K100" s="224" t="e">
        <f>'[3]Management Review and Internal '!G34</f>
        <v>#REF!</v>
      </c>
      <c r="L100" s="191"/>
    </row>
    <row r="101" spans="1:12">
      <c r="A101" s="230" t="s">
        <v>285</v>
      </c>
      <c r="B101" s="191"/>
      <c r="C101" s="230" t="s">
        <v>286</v>
      </c>
      <c r="D101" s="191"/>
      <c r="E101" s="191"/>
      <c r="F101" s="191"/>
      <c r="G101" s="39" t="s">
        <v>24</v>
      </c>
      <c r="H101" s="231" t="e">
        <f>'[3]Management Review and Internal '!F35</f>
        <v>#REF!</v>
      </c>
      <c r="I101" s="229"/>
      <c r="J101" s="34" t="e">
        <f>'[3]Management Review and Internal '!H35</f>
        <v>#REF!</v>
      </c>
      <c r="K101" s="225" t="e">
        <f>'[3]Management Review and Internal '!G35</f>
        <v>#REF!</v>
      </c>
      <c r="L101" s="191"/>
    </row>
    <row r="102" spans="1:12">
      <c r="A102" s="227" t="s">
        <v>287</v>
      </c>
      <c r="B102" s="191"/>
      <c r="C102" s="227" t="s">
        <v>358</v>
      </c>
      <c r="D102" s="191"/>
      <c r="E102" s="191"/>
      <c r="F102" s="191"/>
      <c r="G102" s="36" t="s">
        <v>181</v>
      </c>
      <c r="H102" s="228" t="e">
        <f>'[3]Management Review and Internal '!F37</f>
        <v>#REF!</v>
      </c>
      <c r="I102" s="229"/>
      <c r="J102" s="34" t="e">
        <f>'[3]Management Review and Internal '!H37</f>
        <v>#REF!</v>
      </c>
      <c r="K102" s="224" t="e">
        <f>'[3]Management Review and Internal '!G37</f>
        <v>#REF!</v>
      </c>
      <c r="L102" s="191"/>
    </row>
    <row r="103" spans="1:12"/>
    <row r="104" spans="1:12" ht="15.75">
      <c r="A104" s="221" t="s">
        <v>359</v>
      </c>
      <c r="B104" s="191"/>
      <c r="C104" s="191"/>
      <c r="D104" s="191"/>
      <c r="E104" s="191"/>
      <c r="F104" s="191"/>
      <c r="G104" s="191"/>
      <c r="H104" s="191"/>
      <c r="I104" s="191"/>
      <c r="J104" s="191"/>
      <c r="K104" s="191"/>
      <c r="L104" s="191"/>
    </row>
    <row r="105" spans="1:12">
      <c r="A105" s="194" t="s">
        <v>360</v>
      </c>
      <c r="B105" s="191"/>
      <c r="C105" s="194" t="s">
        <v>361</v>
      </c>
      <c r="D105" s="191"/>
      <c r="E105" s="191"/>
      <c r="F105" s="191"/>
      <c r="G105" s="2" t="s">
        <v>362</v>
      </c>
      <c r="H105" s="194" t="s">
        <v>363</v>
      </c>
      <c r="I105" s="191"/>
      <c r="J105" s="194" t="s">
        <v>17</v>
      </c>
      <c r="K105" s="191"/>
      <c r="L105" s="191"/>
    </row>
    <row r="106" spans="1:12">
      <c r="A106" s="224" t="s">
        <v>364</v>
      </c>
      <c r="B106" s="191"/>
      <c r="C106" s="222" t="s">
        <v>365</v>
      </c>
      <c r="D106" s="191"/>
      <c r="E106" s="191"/>
      <c r="F106" s="191"/>
      <c r="G106" s="34" t="s">
        <v>76</v>
      </c>
      <c r="H106" s="222" t="s">
        <v>366</v>
      </c>
      <c r="I106" s="191"/>
      <c r="J106" s="222" t="s">
        <v>24</v>
      </c>
      <c r="K106" s="191"/>
      <c r="L106" s="191"/>
    </row>
    <row r="107" spans="1:12">
      <c r="A107" s="225" t="s">
        <v>367</v>
      </c>
      <c r="B107" s="191"/>
      <c r="C107" s="223" t="s">
        <v>368</v>
      </c>
      <c r="D107" s="191"/>
      <c r="E107" s="191"/>
      <c r="F107" s="191"/>
      <c r="G107" s="34" t="s">
        <v>76</v>
      </c>
      <c r="H107" s="223" t="s">
        <v>369</v>
      </c>
      <c r="I107" s="191"/>
      <c r="J107" s="223" t="s">
        <v>24</v>
      </c>
      <c r="K107" s="191"/>
      <c r="L107" s="191"/>
    </row>
    <row r="108" spans="1:12">
      <c r="A108" s="224" t="s">
        <v>370</v>
      </c>
      <c r="B108" s="191"/>
      <c r="C108" s="222" t="s">
        <v>371</v>
      </c>
      <c r="D108" s="191"/>
      <c r="E108" s="191"/>
      <c r="F108" s="191"/>
      <c r="G108" s="34" t="s">
        <v>76</v>
      </c>
      <c r="H108" s="222" t="s">
        <v>372</v>
      </c>
      <c r="I108" s="191"/>
      <c r="J108" s="222" t="s">
        <v>24</v>
      </c>
      <c r="K108" s="191"/>
      <c r="L108" s="191"/>
    </row>
    <row r="109" spans="1:12">
      <c r="A109" s="225" t="s">
        <v>373</v>
      </c>
      <c r="B109" s="191"/>
      <c r="C109" s="223" t="s">
        <v>374</v>
      </c>
      <c r="D109" s="191"/>
      <c r="E109" s="191"/>
      <c r="F109" s="191"/>
      <c r="G109" s="34" t="s">
        <v>76</v>
      </c>
      <c r="H109" s="223" t="s">
        <v>375</v>
      </c>
      <c r="I109" s="191"/>
      <c r="J109" s="223" t="s">
        <v>24</v>
      </c>
      <c r="K109" s="191"/>
      <c r="L109" s="191"/>
    </row>
    <row r="110" spans="1:12">
      <c r="A110" s="224" t="s">
        <v>376</v>
      </c>
      <c r="B110" s="191"/>
      <c r="C110" s="222" t="s">
        <v>377</v>
      </c>
      <c r="D110" s="191"/>
      <c r="E110" s="191"/>
      <c r="F110" s="191"/>
      <c r="G110" s="34" t="s">
        <v>76</v>
      </c>
      <c r="H110" s="222" t="s">
        <v>378</v>
      </c>
      <c r="I110" s="191"/>
      <c r="J110" s="222" t="s">
        <v>173</v>
      </c>
      <c r="K110" s="191"/>
      <c r="L110" s="191"/>
    </row>
    <row r="111" spans="1:12"/>
    <row r="112" spans="1:12" ht="15.75">
      <c r="A112" s="221" t="s">
        <v>379</v>
      </c>
      <c r="B112" s="191"/>
      <c r="C112" s="191"/>
      <c r="D112" s="191"/>
      <c r="E112" s="191"/>
      <c r="F112" s="191"/>
      <c r="G112" s="191"/>
      <c r="H112" s="191"/>
      <c r="I112" s="191"/>
      <c r="J112" s="191"/>
      <c r="K112" s="191"/>
      <c r="L112" s="191"/>
    </row>
    <row r="113" spans="1:12">
      <c r="A113" s="232" t="s">
        <v>380</v>
      </c>
      <c r="B113" s="191"/>
      <c r="C113" s="191"/>
      <c r="D113" s="232" t="s">
        <v>381</v>
      </c>
      <c r="E113" s="191"/>
      <c r="F113" s="191"/>
      <c r="G113" s="232" t="s">
        <v>382</v>
      </c>
      <c r="H113" s="191"/>
      <c r="I113" s="191"/>
      <c r="J113" s="232" t="s">
        <v>383</v>
      </c>
      <c r="K113" s="191"/>
      <c r="L113" s="191"/>
    </row>
    <row r="114" spans="1:12" ht="28.5">
      <c r="A114" s="233">
        <f>COUNTIF('AI Use Case Register'!Q5:Q26,"Tier 1")</f>
        <v>11</v>
      </c>
      <c r="B114" s="191"/>
      <c r="C114" s="191"/>
      <c r="D114" s="233">
        <f>SUMPRODUCT(('AI Use Case Register'!Q5:Q26="Tier 1")*ISNUMBER(SEARCH("CTL-005",'AI Use Case Register'!U5:U26)))</f>
        <v>4</v>
      </c>
      <c r="E114" s="191"/>
      <c r="F114" s="191"/>
      <c r="G114" s="233">
        <f>SUMPRODUCT(('AI Use Case Register'!Q5:Q26="Tier 1")*ISNUMBER(SEARCH("CTL-008",'AI Use Case Register'!U5:U26)))</f>
        <v>7</v>
      </c>
      <c r="H114" s="191"/>
      <c r="I114" s="191"/>
      <c r="J114" s="233">
        <f>SUMPRODUCT(('AI Use Case Register'!Q5:Q26="Tier 1")*ISNUMBER(SEARCH("CTL-014",'AI Use Case Register'!U5:U26)))</f>
        <v>4</v>
      </c>
      <c r="K114" s="191"/>
      <c r="L114" s="191"/>
    </row>
    <row r="115" spans="1:12">
      <c r="A115" s="234" t="s">
        <v>384</v>
      </c>
      <c r="B115" s="191"/>
      <c r="C115" s="191"/>
      <c r="D115" s="234" t="s">
        <v>385</v>
      </c>
      <c r="E115" s="191"/>
      <c r="F115" s="191"/>
      <c r="G115" s="234" t="s">
        <v>386</v>
      </c>
      <c r="H115" s="191"/>
      <c r="I115" s="191"/>
      <c r="J115" s="234" t="s">
        <v>387</v>
      </c>
      <c r="K115" s="191"/>
      <c r="L115" s="191"/>
    </row>
    <row r="116" spans="1:12"/>
    <row r="117" spans="1:12" ht="15.75">
      <c r="A117" s="221" t="s">
        <v>388</v>
      </c>
      <c r="B117" s="191"/>
      <c r="C117" s="191"/>
      <c r="D117" s="191"/>
      <c r="E117" s="191"/>
      <c r="F117" s="191"/>
      <c r="G117" s="191"/>
      <c r="H117" s="191"/>
      <c r="I117" s="191"/>
      <c r="J117" s="191"/>
      <c r="K117" s="191"/>
      <c r="L117" s="191"/>
    </row>
    <row r="118" spans="1:12">
      <c r="A118" s="194" t="s">
        <v>301</v>
      </c>
      <c r="B118" s="194"/>
      <c r="C118" s="194"/>
      <c r="D118" s="194"/>
      <c r="E118" s="194"/>
      <c r="F118" s="194"/>
      <c r="G118" s="2" t="s">
        <v>302</v>
      </c>
      <c r="H118" s="2" t="s">
        <v>303</v>
      </c>
      <c r="I118" s="2" t="s">
        <v>304</v>
      </c>
      <c r="J118" s="194" t="s">
        <v>17</v>
      </c>
      <c r="K118" s="194"/>
      <c r="L118" s="194"/>
    </row>
    <row r="119" spans="1:12">
      <c r="A119" s="235" t="s">
        <v>305</v>
      </c>
      <c r="B119" s="235"/>
      <c r="C119" s="235"/>
      <c r="D119" s="235"/>
      <c r="E119" s="235"/>
      <c r="F119" s="235"/>
      <c r="G119" s="42">
        <f>'Maturity Assessment'!D5</f>
        <v>4</v>
      </c>
      <c r="H119" s="42">
        <f>'Maturity Assessment'!F5</f>
        <v>5</v>
      </c>
      <c r="I119" s="42">
        <f>'Maturity Assessment'!H5</f>
        <v>1</v>
      </c>
      <c r="J119" s="235" t="s">
        <v>284</v>
      </c>
      <c r="K119" s="235"/>
      <c r="L119" s="235"/>
    </row>
    <row r="120" spans="1:12">
      <c r="A120" s="223" t="s">
        <v>306</v>
      </c>
      <c r="B120" s="223"/>
      <c r="C120" s="223"/>
      <c r="D120" s="223"/>
      <c r="E120" s="223"/>
      <c r="F120" s="223"/>
      <c r="G120" s="32">
        <f>'Maturity Assessment'!D6</f>
        <v>3</v>
      </c>
      <c r="H120" s="32">
        <f>'Maturity Assessment'!F6</f>
        <v>4</v>
      </c>
      <c r="I120" s="32">
        <f>'Maturity Assessment'!H6</f>
        <v>1</v>
      </c>
      <c r="J120" s="223" t="s">
        <v>37</v>
      </c>
      <c r="K120" s="223"/>
      <c r="L120" s="223"/>
    </row>
    <row r="121" spans="1:12">
      <c r="A121" s="235" t="s">
        <v>307</v>
      </c>
      <c r="B121" s="235"/>
      <c r="C121" s="235"/>
      <c r="D121" s="235"/>
      <c r="E121" s="235"/>
      <c r="F121" s="235"/>
      <c r="G121" s="42">
        <f>'Maturity Assessment'!D7</f>
        <v>4</v>
      </c>
      <c r="H121" s="42">
        <f>'Maturity Assessment'!F7</f>
        <v>5</v>
      </c>
      <c r="I121" s="42">
        <f>'Maturity Assessment'!H7</f>
        <v>1</v>
      </c>
      <c r="J121" s="235" t="s">
        <v>173</v>
      </c>
      <c r="K121" s="235"/>
      <c r="L121" s="235"/>
    </row>
    <row r="122" spans="1:12">
      <c r="A122" s="223" t="s">
        <v>389</v>
      </c>
      <c r="B122" s="223"/>
      <c r="C122" s="223"/>
      <c r="D122" s="223"/>
      <c r="E122" s="223"/>
      <c r="F122" s="223"/>
      <c r="G122" s="32">
        <f>'Maturity Assessment'!D8</f>
        <v>3</v>
      </c>
      <c r="H122" s="32">
        <f>'Maturity Assessment'!F8</f>
        <v>4</v>
      </c>
      <c r="I122" s="32">
        <f>'Maturity Assessment'!H8</f>
        <v>1</v>
      </c>
      <c r="J122" s="223" t="s">
        <v>262</v>
      </c>
      <c r="K122" s="223"/>
      <c r="L122" s="223"/>
    </row>
    <row r="123" spans="1:12">
      <c r="A123" s="235" t="s">
        <v>309</v>
      </c>
      <c r="B123" s="235"/>
      <c r="C123" s="235"/>
      <c r="D123" s="235"/>
      <c r="E123" s="235"/>
      <c r="F123" s="235"/>
      <c r="G123" s="42">
        <f>'Maturity Assessment'!D9</f>
        <v>3</v>
      </c>
      <c r="H123" s="42">
        <f>'Maturity Assessment'!F9</f>
        <v>4</v>
      </c>
      <c r="I123" s="42">
        <f>'Maturity Assessment'!H9</f>
        <v>1</v>
      </c>
      <c r="J123" s="235" t="s">
        <v>68</v>
      </c>
      <c r="K123" s="235"/>
      <c r="L123" s="235"/>
    </row>
    <row r="124" spans="1:12">
      <c r="A124" s="223" t="s">
        <v>310</v>
      </c>
      <c r="B124" s="223"/>
      <c r="C124" s="223"/>
      <c r="D124" s="223"/>
      <c r="E124" s="223"/>
      <c r="F124" s="223"/>
      <c r="G124" s="32">
        <f>'Maturity Assessment'!D10</f>
        <v>3</v>
      </c>
      <c r="H124" s="32">
        <f>'Maturity Assessment'!F10</f>
        <v>4</v>
      </c>
      <c r="I124" s="32">
        <f>'Maturity Assessment'!H10</f>
        <v>1</v>
      </c>
      <c r="J124" s="223" t="s">
        <v>24</v>
      </c>
      <c r="K124" s="223"/>
      <c r="L124" s="223"/>
    </row>
    <row r="125" spans="1:12">
      <c r="A125" s="235" t="s">
        <v>311</v>
      </c>
      <c r="B125" s="235"/>
      <c r="C125" s="235"/>
      <c r="D125" s="235"/>
      <c r="E125" s="235"/>
      <c r="F125" s="235"/>
      <c r="G125" s="42">
        <f>'Maturity Assessment'!D11</f>
        <v>3</v>
      </c>
      <c r="H125" s="42">
        <f>'Maturity Assessment'!F11</f>
        <v>4</v>
      </c>
      <c r="I125" s="42">
        <f>'Maturity Assessment'!H11</f>
        <v>1</v>
      </c>
      <c r="J125" s="235" t="s">
        <v>181</v>
      </c>
      <c r="K125" s="235"/>
      <c r="L125" s="235"/>
    </row>
    <row r="126" spans="1:12">
      <c r="A126" s="223" t="s">
        <v>312</v>
      </c>
      <c r="B126" s="223"/>
      <c r="C126" s="223"/>
      <c r="D126" s="223"/>
      <c r="E126" s="223"/>
      <c r="F126" s="223"/>
      <c r="G126" s="32">
        <f>'Maturity Assessment'!D12</f>
        <v>3</v>
      </c>
      <c r="H126" s="32">
        <f>'Maturity Assessment'!F12</f>
        <v>4</v>
      </c>
      <c r="I126" s="32">
        <f>'Maturity Assessment'!H12</f>
        <v>1</v>
      </c>
      <c r="J126" s="223" t="s">
        <v>313</v>
      </c>
      <c r="K126" s="223"/>
      <c r="L126" s="223"/>
    </row>
    <row r="127" spans="1:12">
      <c r="A127" s="235" t="s">
        <v>314</v>
      </c>
      <c r="B127" s="235"/>
      <c r="C127" s="235"/>
      <c r="D127" s="235"/>
      <c r="E127" s="235"/>
      <c r="F127" s="235"/>
      <c r="G127" s="42">
        <f>'Maturity Assessment'!D13</f>
        <v>3</v>
      </c>
      <c r="H127" s="42">
        <f>'Maturity Assessment'!F13</f>
        <v>4</v>
      </c>
      <c r="I127" s="42">
        <f>'Maturity Assessment'!H13</f>
        <v>1</v>
      </c>
      <c r="J127" s="235" t="s">
        <v>24</v>
      </c>
      <c r="K127" s="235"/>
      <c r="L127" s="235"/>
    </row>
    <row r="128" spans="1:12"/>
    <row r="129" spans="1:12" ht="15.75">
      <c r="A129" s="221" t="s">
        <v>390</v>
      </c>
      <c r="B129" s="191"/>
      <c r="C129" s="191"/>
      <c r="D129" s="191"/>
      <c r="E129" s="191"/>
      <c r="F129" s="191"/>
      <c r="G129" s="191"/>
      <c r="H129" s="191"/>
      <c r="I129" s="191"/>
      <c r="J129" s="191"/>
      <c r="K129" s="191"/>
      <c r="L129" s="191"/>
    </row>
    <row r="130" spans="1:12">
      <c r="A130" s="232" t="s">
        <v>391</v>
      </c>
      <c r="B130" s="191"/>
      <c r="C130" s="191"/>
      <c r="D130" s="232" t="s">
        <v>392</v>
      </c>
      <c r="E130" s="191"/>
      <c r="F130" s="191"/>
      <c r="G130" s="232" t="s">
        <v>393</v>
      </c>
      <c r="H130" s="191"/>
      <c r="I130" s="191"/>
      <c r="J130" s="232" t="s">
        <v>394</v>
      </c>
      <c r="K130" s="191"/>
      <c r="L130" s="191"/>
    </row>
    <row r="131" spans="1:12" ht="28.5">
      <c r="A131" s="236">
        <f>'Financial Analysis'!E34</f>
        <v>6159.3</v>
      </c>
      <c r="B131" s="191"/>
      <c r="C131" s="191"/>
      <c r="D131" s="236">
        <f>'Financial Analysis'!E23</f>
        <v>4786</v>
      </c>
      <c r="E131" s="191"/>
      <c r="F131" s="191"/>
      <c r="G131" s="236">
        <f>'Financial Analysis'!E32</f>
        <v>1080</v>
      </c>
      <c r="H131" s="191"/>
      <c r="I131" s="191"/>
      <c r="J131" s="236">
        <f>'Financial Analysis'!E33</f>
        <v>293.3</v>
      </c>
      <c r="K131" s="191"/>
      <c r="L131" s="191"/>
    </row>
    <row r="132" spans="1:12">
      <c r="A132" s="234" t="s">
        <v>395</v>
      </c>
      <c r="B132" s="191"/>
      <c r="C132" s="191"/>
      <c r="D132" s="234" t="str">
        <f>"Run as percent of total: "&amp;TEXT('Financial Analysis'!E23/'Financial Analysis'!E34,"0.0%")</f>
        <v>Run as percent of total: 77.7%</v>
      </c>
      <c r="E132" s="191"/>
      <c r="F132" s="191"/>
      <c r="G132" s="234" t="str">
        <f>"Change as percent of total: "&amp;TEXT('Financial Analysis'!E32/'Financial Analysis'!E34,"0.0%")</f>
        <v>Change as percent of total: 17.5%</v>
      </c>
      <c r="H132" s="191"/>
      <c r="I132" s="191"/>
      <c r="J132" s="234" t="s">
        <v>396</v>
      </c>
      <c r="K132" s="191"/>
      <c r="L132" s="191"/>
    </row>
    <row r="133" spans="1:12"/>
    <row r="134" spans="1:12" ht="15.75">
      <c r="A134" s="221" t="s">
        <v>397</v>
      </c>
      <c r="B134" s="191"/>
      <c r="C134" s="191"/>
      <c r="D134" s="191"/>
      <c r="E134" s="191"/>
      <c r="F134" s="191"/>
      <c r="G134" s="191"/>
      <c r="H134" s="191"/>
      <c r="I134" s="191"/>
      <c r="J134" s="191"/>
      <c r="K134" s="191"/>
      <c r="L134" s="191"/>
    </row>
    <row r="135" spans="1:12">
      <c r="A135" s="194" t="s">
        <v>117</v>
      </c>
      <c r="B135" s="237"/>
      <c r="C135" s="237"/>
      <c r="D135" s="237"/>
      <c r="E135" s="237"/>
      <c r="F135" s="237"/>
      <c r="G135" s="194" t="s">
        <v>119</v>
      </c>
      <c r="H135" s="237"/>
      <c r="I135" s="237"/>
      <c r="J135" s="194" t="s">
        <v>398</v>
      </c>
      <c r="K135" s="237"/>
      <c r="L135" s="237"/>
    </row>
    <row r="136" spans="1:12">
      <c r="A136" s="227" t="s">
        <v>123</v>
      </c>
      <c r="B136" s="237"/>
      <c r="C136" s="237"/>
      <c r="D136" s="237"/>
      <c r="E136" s="237"/>
      <c r="F136" s="237"/>
      <c r="G136" s="227" t="s">
        <v>125</v>
      </c>
      <c r="H136" s="237"/>
      <c r="I136" s="237"/>
      <c r="J136" s="227" t="s">
        <v>399</v>
      </c>
      <c r="K136" s="237"/>
      <c r="L136" s="237"/>
    </row>
    <row r="137" spans="1:12">
      <c r="A137" s="230" t="s">
        <v>400</v>
      </c>
      <c r="B137" s="237"/>
      <c r="C137" s="237"/>
      <c r="D137" s="237"/>
      <c r="E137" s="237"/>
      <c r="F137" s="237"/>
      <c r="G137" s="230" t="s">
        <v>125</v>
      </c>
      <c r="H137" s="237"/>
      <c r="I137" s="237"/>
      <c r="J137" s="230" t="s">
        <v>401</v>
      </c>
      <c r="K137" s="237"/>
      <c r="L137" s="237"/>
    </row>
    <row r="138" spans="1:12">
      <c r="A138" s="227" t="s">
        <v>402</v>
      </c>
      <c r="B138" s="237"/>
      <c r="C138" s="237"/>
      <c r="D138" s="237"/>
      <c r="E138" s="237"/>
      <c r="F138" s="237"/>
      <c r="G138" s="227" t="s">
        <v>131</v>
      </c>
      <c r="H138" s="237"/>
      <c r="I138" s="237"/>
      <c r="J138" s="227" t="s">
        <v>403</v>
      </c>
      <c r="K138" s="237"/>
      <c r="L138" s="237"/>
    </row>
    <row r="139" spans="1:12">
      <c r="A139" s="230" t="s">
        <v>134</v>
      </c>
      <c r="B139" s="237"/>
      <c r="C139" s="237"/>
      <c r="D139" s="237"/>
      <c r="E139" s="237"/>
      <c r="F139" s="237"/>
      <c r="G139" s="230" t="s">
        <v>136</v>
      </c>
      <c r="H139" s="237"/>
      <c r="I139" s="237"/>
      <c r="J139" s="230" t="s">
        <v>399</v>
      </c>
      <c r="K139" s="237"/>
      <c r="L139" s="237"/>
    </row>
    <row r="140" spans="1:12">
      <c r="A140" s="227" t="s">
        <v>404</v>
      </c>
      <c r="B140" s="237"/>
      <c r="C140" s="237"/>
      <c r="D140" s="237"/>
      <c r="E140" s="237"/>
      <c r="F140" s="237"/>
      <c r="G140" s="227" t="s">
        <v>405</v>
      </c>
      <c r="H140" s="237"/>
      <c r="I140" s="237"/>
      <c r="J140" s="227" t="s">
        <v>406</v>
      </c>
      <c r="K140" s="237"/>
      <c r="L140" s="237"/>
    </row>
    <row r="141" spans="1:12">
      <c r="A141" s="230" t="s">
        <v>407</v>
      </c>
      <c r="B141" s="237"/>
      <c r="C141" s="237"/>
      <c r="D141" s="237"/>
      <c r="E141" s="237"/>
      <c r="F141" s="237"/>
      <c r="G141" s="230" t="s">
        <v>145</v>
      </c>
      <c r="H141" s="237"/>
      <c r="I141" s="237"/>
      <c r="J141" s="230" t="s">
        <v>408</v>
      </c>
      <c r="K141" s="237"/>
      <c r="L141" s="237"/>
    </row>
    <row r="142" spans="1:12"/>
    <row r="143" spans="1:12" ht="15.75">
      <c r="A143" s="221" t="s">
        <v>409</v>
      </c>
      <c r="B143" s="191"/>
      <c r="C143" s="191"/>
      <c r="D143" s="191"/>
      <c r="E143" s="191"/>
      <c r="F143" s="191"/>
      <c r="G143" s="191"/>
      <c r="H143" s="191"/>
      <c r="I143" s="191"/>
      <c r="J143" s="191"/>
      <c r="K143" s="191"/>
      <c r="L143" s="191"/>
    </row>
    <row r="144" spans="1:12">
      <c r="A144" s="194" t="s">
        <v>153</v>
      </c>
      <c r="B144" s="237"/>
      <c r="C144" s="237"/>
      <c r="D144" s="194" t="s">
        <v>410</v>
      </c>
      <c r="E144" s="237"/>
      <c r="F144" s="237"/>
      <c r="G144" s="237"/>
      <c r="H144" s="237"/>
      <c r="I144" s="237"/>
      <c r="J144" s="194" t="s">
        <v>411</v>
      </c>
      <c r="K144" s="237"/>
      <c r="L144" s="237"/>
    </row>
    <row r="145" spans="1:12">
      <c r="A145" s="227" t="s">
        <v>412</v>
      </c>
      <c r="B145" s="237"/>
      <c r="C145" s="237"/>
      <c r="D145" s="227" t="s">
        <v>413</v>
      </c>
      <c r="E145" s="237"/>
      <c r="F145" s="237"/>
      <c r="G145" s="237"/>
      <c r="H145" s="237"/>
      <c r="I145" s="237"/>
      <c r="J145" s="227" t="s">
        <v>414</v>
      </c>
      <c r="K145" s="237"/>
      <c r="L145" s="237"/>
    </row>
    <row r="146" spans="1:12">
      <c r="A146" s="230" t="s">
        <v>415</v>
      </c>
      <c r="B146" s="237"/>
      <c r="C146" s="237"/>
      <c r="D146" s="230" t="s">
        <v>416</v>
      </c>
      <c r="E146" s="237"/>
      <c r="F146" s="237"/>
      <c r="G146" s="237"/>
      <c r="H146" s="237"/>
      <c r="I146" s="237"/>
      <c r="J146" s="230" t="s">
        <v>417</v>
      </c>
      <c r="K146" s="237"/>
      <c r="L146" s="237"/>
    </row>
    <row r="147" spans="1:12">
      <c r="A147" s="227" t="s">
        <v>418</v>
      </c>
      <c r="B147" s="237"/>
      <c r="C147" s="237"/>
      <c r="D147" s="227" t="s">
        <v>419</v>
      </c>
      <c r="E147" s="237"/>
      <c r="F147" s="237"/>
      <c r="G147" s="237"/>
      <c r="H147" s="237"/>
      <c r="I147" s="237"/>
      <c r="J147" s="227" t="s">
        <v>420</v>
      </c>
      <c r="K147" s="237"/>
      <c r="L147" s="237"/>
    </row>
    <row r="148" spans="1:12">
      <c r="A148" s="230" t="s">
        <v>421</v>
      </c>
      <c r="B148" s="237"/>
      <c r="C148" s="237"/>
      <c r="D148" s="230" t="s">
        <v>422</v>
      </c>
      <c r="E148" s="237"/>
      <c r="F148" s="237"/>
      <c r="G148" s="237"/>
      <c r="H148" s="237"/>
      <c r="I148" s="237"/>
      <c r="J148" s="230" t="s">
        <v>423</v>
      </c>
      <c r="K148" s="237"/>
      <c r="L148" s="237"/>
    </row>
    <row r="149" spans="1:12">
      <c r="A149" s="227" t="s">
        <v>424</v>
      </c>
      <c r="B149" s="237"/>
      <c r="C149" s="237"/>
      <c r="D149" s="227" t="s">
        <v>425</v>
      </c>
      <c r="E149" s="237"/>
      <c r="F149" s="237"/>
      <c r="G149" s="237"/>
      <c r="H149" s="237"/>
      <c r="I149" s="237"/>
      <c r="J149" s="227" t="s">
        <v>426</v>
      </c>
      <c r="K149" s="237"/>
      <c r="L149" s="237"/>
    </row>
    <row r="150" spans="1:12">
      <c r="A150" s="230" t="s">
        <v>427</v>
      </c>
      <c r="B150" s="237"/>
      <c r="C150" s="237"/>
      <c r="D150" s="230" t="s">
        <v>428</v>
      </c>
      <c r="E150" s="237"/>
      <c r="F150" s="237"/>
      <c r="G150" s="237"/>
      <c r="H150" s="237"/>
      <c r="I150" s="237"/>
      <c r="J150" s="230" t="s">
        <v>429</v>
      </c>
      <c r="K150" s="237"/>
      <c r="L150" s="237"/>
    </row>
    <row r="151" spans="1:12"/>
    <row r="152" spans="1:12" ht="15.75">
      <c r="A152" s="221" t="s">
        <v>430</v>
      </c>
      <c r="B152" s="191"/>
      <c r="C152" s="191"/>
      <c r="D152" s="191"/>
      <c r="E152" s="191"/>
      <c r="F152" s="191"/>
      <c r="G152" s="191"/>
      <c r="H152" s="191"/>
      <c r="I152" s="191"/>
      <c r="J152" s="191"/>
      <c r="K152" s="191"/>
      <c r="L152" s="191"/>
    </row>
    <row r="153" spans="1:12">
      <c r="A153" s="194" t="s">
        <v>431</v>
      </c>
      <c r="B153" s="237"/>
      <c r="C153" s="237"/>
      <c r="D153" s="194" t="s">
        <v>432</v>
      </c>
      <c r="E153" s="237"/>
      <c r="F153" s="237"/>
      <c r="G153" s="237"/>
      <c r="H153" s="237"/>
      <c r="I153" s="237"/>
      <c r="J153" s="194" t="s">
        <v>433</v>
      </c>
      <c r="K153" s="237"/>
      <c r="L153" s="237"/>
    </row>
    <row r="154" spans="1:12">
      <c r="A154" s="227" t="s">
        <v>434</v>
      </c>
      <c r="B154" s="237"/>
      <c r="C154" s="237"/>
      <c r="D154" s="227" t="s">
        <v>435</v>
      </c>
      <c r="E154" s="237"/>
      <c r="F154" s="237"/>
      <c r="G154" s="237"/>
      <c r="H154" s="237"/>
      <c r="I154" s="237"/>
      <c r="J154" s="227" t="s">
        <v>436</v>
      </c>
      <c r="K154" s="237"/>
      <c r="L154" s="237"/>
    </row>
    <row r="155" spans="1:12">
      <c r="A155" s="230" t="s">
        <v>437</v>
      </c>
      <c r="B155" s="237"/>
      <c r="C155" s="237"/>
      <c r="D155" s="230" t="s">
        <v>438</v>
      </c>
      <c r="E155" s="237"/>
      <c r="F155" s="237"/>
      <c r="G155" s="237"/>
      <c r="H155" s="237"/>
      <c r="I155" s="237"/>
      <c r="J155" s="230" t="s">
        <v>439</v>
      </c>
      <c r="K155" s="237"/>
      <c r="L155" s="237"/>
    </row>
    <row r="156" spans="1:12">
      <c r="A156" s="227" t="s">
        <v>440</v>
      </c>
      <c r="B156" s="237"/>
      <c r="C156" s="237"/>
      <c r="D156" s="227" t="s">
        <v>441</v>
      </c>
      <c r="E156" s="237"/>
      <c r="F156" s="237"/>
      <c r="G156" s="237"/>
      <c r="H156" s="237"/>
      <c r="I156" s="237"/>
      <c r="J156" s="227" t="s">
        <v>22</v>
      </c>
      <c r="K156" s="237"/>
      <c r="L156" s="237"/>
    </row>
    <row r="157" spans="1:12">
      <c r="A157" s="230" t="s">
        <v>442</v>
      </c>
      <c r="B157" s="237"/>
      <c r="C157" s="237"/>
      <c r="D157" s="230" t="s">
        <v>443</v>
      </c>
      <c r="E157" s="237"/>
      <c r="F157" s="237"/>
      <c r="G157" s="237"/>
      <c r="H157" s="237"/>
      <c r="I157" s="237"/>
      <c r="J157" s="230" t="s">
        <v>7</v>
      </c>
      <c r="K157" s="237"/>
      <c r="L157" s="237"/>
    </row>
    <row r="158" spans="1:12">
      <c r="A158" s="227" t="s">
        <v>444</v>
      </c>
      <c r="B158" s="237"/>
      <c r="C158" s="237"/>
      <c r="D158" s="227" t="s">
        <v>445</v>
      </c>
      <c r="E158" s="237"/>
      <c r="F158" s="237"/>
      <c r="G158" s="237"/>
      <c r="H158" s="237"/>
      <c r="I158" s="237"/>
      <c r="J158" s="227" t="s">
        <v>127</v>
      </c>
      <c r="K158" s="237"/>
      <c r="L158" s="237"/>
    </row>
    <row r="159" spans="1:12">
      <c r="A159" s="230" t="s">
        <v>446</v>
      </c>
      <c r="B159" s="237"/>
      <c r="C159" s="237"/>
      <c r="D159" s="230" t="s">
        <v>447</v>
      </c>
      <c r="E159" s="237"/>
      <c r="F159" s="237"/>
      <c r="G159" s="237"/>
      <c r="H159" s="237"/>
      <c r="I159" s="237"/>
      <c r="J159" s="230" t="s">
        <v>448</v>
      </c>
      <c r="K159" s="237"/>
      <c r="L159" s="237"/>
    </row>
  </sheetData>
  <mergeCells count="411">
    <mergeCell ref="A159:C159"/>
    <mergeCell ref="D159:I159"/>
    <mergeCell ref="J159:L159"/>
    <mergeCell ref="A157:C157"/>
    <mergeCell ref="D157:I157"/>
    <mergeCell ref="J157:L157"/>
    <mergeCell ref="A158:C158"/>
    <mergeCell ref="D158:I158"/>
    <mergeCell ref="J158:L158"/>
    <mergeCell ref="A155:C155"/>
    <mergeCell ref="D155:I155"/>
    <mergeCell ref="J155:L155"/>
    <mergeCell ref="A156:C156"/>
    <mergeCell ref="D156:I156"/>
    <mergeCell ref="J156:L156"/>
    <mergeCell ref="A152:L152"/>
    <mergeCell ref="A153:C153"/>
    <mergeCell ref="D153:I153"/>
    <mergeCell ref="J153:L153"/>
    <mergeCell ref="A154:C154"/>
    <mergeCell ref="D154:I154"/>
    <mergeCell ref="J154:L154"/>
    <mergeCell ref="A149:C149"/>
    <mergeCell ref="D149:I149"/>
    <mergeCell ref="J149:L149"/>
    <mergeCell ref="A150:C150"/>
    <mergeCell ref="D150:I150"/>
    <mergeCell ref="J150:L150"/>
    <mergeCell ref="A147:C147"/>
    <mergeCell ref="D147:I147"/>
    <mergeCell ref="J147:L147"/>
    <mergeCell ref="A148:C148"/>
    <mergeCell ref="D148:I148"/>
    <mergeCell ref="J148:L148"/>
    <mergeCell ref="A145:C145"/>
    <mergeCell ref="D145:I145"/>
    <mergeCell ref="J145:L145"/>
    <mergeCell ref="A146:C146"/>
    <mergeCell ref="D146:I146"/>
    <mergeCell ref="J146:L146"/>
    <mergeCell ref="A141:F141"/>
    <mergeCell ref="G141:I141"/>
    <mergeCell ref="J141:L141"/>
    <mergeCell ref="A143:L143"/>
    <mergeCell ref="A144:C144"/>
    <mergeCell ref="D144:I144"/>
    <mergeCell ref="J144:L144"/>
    <mergeCell ref="A139:F139"/>
    <mergeCell ref="G139:I139"/>
    <mergeCell ref="J139:L139"/>
    <mergeCell ref="A140:F140"/>
    <mergeCell ref="G140:I140"/>
    <mergeCell ref="J140:L140"/>
    <mergeCell ref="A137:F137"/>
    <mergeCell ref="G137:I137"/>
    <mergeCell ref="J137:L137"/>
    <mergeCell ref="A138:F138"/>
    <mergeCell ref="G138:I138"/>
    <mergeCell ref="J138:L138"/>
    <mergeCell ref="A135:F135"/>
    <mergeCell ref="G135:I135"/>
    <mergeCell ref="J135:L135"/>
    <mergeCell ref="A136:F136"/>
    <mergeCell ref="G136:I136"/>
    <mergeCell ref="J136:L136"/>
    <mergeCell ref="A132:C132"/>
    <mergeCell ref="D132:F132"/>
    <mergeCell ref="G132:I132"/>
    <mergeCell ref="J132:L132"/>
    <mergeCell ref="A134:L134"/>
    <mergeCell ref="A130:C130"/>
    <mergeCell ref="D130:F130"/>
    <mergeCell ref="G130:I130"/>
    <mergeCell ref="J130:L130"/>
    <mergeCell ref="A131:C131"/>
    <mergeCell ref="D131:F131"/>
    <mergeCell ref="G131:I131"/>
    <mergeCell ref="J131:L131"/>
    <mergeCell ref="A126:F126"/>
    <mergeCell ref="J126:L126"/>
    <mergeCell ref="A127:F127"/>
    <mergeCell ref="J127:L127"/>
    <mergeCell ref="A129:L129"/>
    <mergeCell ref="A123:F123"/>
    <mergeCell ref="J123:L123"/>
    <mergeCell ref="A124:F124"/>
    <mergeCell ref="J124:L124"/>
    <mergeCell ref="A125:F125"/>
    <mergeCell ref="J125:L125"/>
    <mergeCell ref="A120:F120"/>
    <mergeCell ref="J120:L120"/>
    <mergeCell ref="A121:F121"/>
    <mergeCell ref="J121:L121"/>
    <mergeCell ref="A122:F122"/>
    <mergeCell ref="J122:L122"/>
    <mergeCell ref="A117:L117"/>
    <mergeCell ref="A118:F118"/>
    <mergeCell ref="J118:L118"/>
    <mergeCell ref="A119:F119"/>
    <mergeCell ref="J119:L119"/>
    <mergeCell ref="A114:C114"/>
    <mergeCell ref="D114:F114"/>
    <mergeCell ref="G114:I114"/>
    <mergeCell ref="J114:L114"/>
    <mergeCell ref="A115:C115"/>
    <mergeCell ref="D115:F115"/>
    <mergeCell ref="G115:I115"/>
    <mergeCell ref="J115:L115"/>
    <mergeCell ref="A112:L112"/>
    <mergeCell ref="A113:C113"/>
    <mergeCell ref="D113:F113"/>
    <mergeCell ref="G113:I113"/>
    <mergeCell ref="J113:L113"/>
    <mergeCell ref="A109:B109"/>
    <mergeCell ref="C109:F109"/>
    <mergeCell ref="H109:I109"/>
    <mergeCell ref="J109:L109"/>
    <mergeCell ref="A110:B110"/>
    <mergeCell ref="C110:F110"/>
    <mergeCell ref="H110:I110"/>
    <mergeCell ref="J110:L110"/>
    <mergeCell ref="A107:B107"/>
    <mergeCell ref="C107:F107"/>
    <mergeCell ref="H107:I107"/>
    <mergeCell ref="J107:L107"/>
    <mergeCell ref="A108:B108"/>
    <mergeCell ref="C108:F108"/>
    <mergeCell ref="H108:I108"/>
    <mergeCell ref="J108:L108"/>
    <mergeCell ref="A105:B105"/>
    <mergeCell ref="C105:F105"/>
    <mergeCell ref="H105:I105"/>
    <mergeCell ref="J105:L105"/>
    <mergeCell ref="A106:B106"/>
    <mergeCell ref="C106:F106"/>
    <mergeCell ref="H106:I106"/>
    <mergeCell ref="J106:L106"/>
    <mergeCell ref="A102:B102"/>
    <mergeCell ref="C102:F102"/>
    <mergeCell ref="H102:I102"/>
    <mergeCell ref="K102:L102"/>
    <mergeCell ref="A104:L104"/>
    <mergeCell ref="A100:B100"/>
    <mergeCell ref="C100:F100"/>
    <mergeCell ref="H100:I100"/>
    <mergeCell ref="K100:L100"/>
    <mergeCell ref="A101:B101"/>
    <mergeCell ref="C101:F101"/>
    <mergeCell ref="H101:I101"/>
    <mergeCell ref="K101:L101"/>
    <mergeCell ref="A98:B98"/>
    <mergeCell ref="C98:F98"/>
    <mergeCell ref="H98:I98"/>
    <mergeCell ref="K98:L98"/>
    <mergeCell ref="A99:B99"/>
    <mergeCell ref="C99:F99"/>
    <mergeCell ref="H99:I99"/>
    <mergeCell ref="K99:L99"/>
    <mergeCell ref="A93:L93"/>
    <mergeCell ref="A94:L94"/>
    <mergeCell ref="A96:L96"/>
    <mergeCell ref="A97:B97"/>
    <mergeCell ref="C97:F97"/>
    <mergeCell ref="H97:I97"/>
    <mergeCell ref="K97:L97"/>
    <mergeCell ref="A90:B90"/>
    <mergeCell ref="C90:F90"/>
    <mergeCell ref="H90:I90"/>
    <mergeCell ref="J90:L90"/>
    <mergeCell ref="A91:B91"/>
    <mergeCell ref="C91:F91"/>
    <mergeCell ref="H91:I91"/>
    <mergeCell ref="J91:L91"/>
    <mergeCell ref="A88:B88"/>
    <mergeCell ref="C88:F88"/>
    <mergeCell ref="H88:I88"/>
    <mergeCell ref="J88:L88"/>
    <mergeCell ref="A89:B89"/>
    <mergeCell ref="C89:F89"/>
    <mergeCell ref="H89:I89"/>
    <mergeCell ref="J89:L89"/>
    <mergeCell ref="A86:B86"/>
    <mergeCell ref="C86:F86"/>
    <mergeCell ref="H86:I86"/>
    <mergeCell ref="J86:L86"/>
    <mergeCell ref="A87:B87"/>
    <mergeCell ref="C87:F87"/>
    <mergeCell ref="H87:I87"/>
    <mergeCell ref="J87:L87"/>
    <mergeCell ref="A83:B83"/>
    <mergeCell ref="C83:F83"/>
    <mergeCell ref="I83:J83"/>
    <mergeCell ref="K83:L83"/>
    <mergeCell ref="A85:L85"/>
    <mergeCell ref="A81:B81"/>
    <mergeCell ref="C81:F81"/>
    <mergeCell ref="I81:J81"/>
    <mergeCell ref="K81:L81"/>
    <mergeCell ref="A82:B82"/>
    <mergeCell ref="C82:F82"/>
    <mergeCell ref="I82:J82"/>
    <mergeCell ref="K82:L82"/>
    <mergeCell ref="A79:B79"/>
    <mergeCell ref="C79:F79"/>
    <mergeCell ref="I79:J79"/>
    <mergeCell ref="K79:L79"/>
    <mergeCell ref="A80:B80"/>
    <mergeCell ref="C80:F80"/>
    <mergeCell ref="I80:J80"/>
    <mergeCell ref="K80:L80"/>
    <mergeCell ref="A77:L77"/>
    <mergeCell ref="A78:B78"/>
    <mergeCell ref="C78:F78"/>
    <mergeCell ref="I78:J78"/>
    <mergeCell ref="K78:L78"/>
    <mergeCell ref="A68:F68"/>
    <mergeCell ref="J68:L68"/>
    <mergeCell ref="A70:L70"/>
    <mergeCell ref="A71:L71"/>
    <mergeCell ref="A73:L73"/>
    <mergeCell ref="A65:F65"/>
    <mergeCell ref="J65:L65"/>
    <mergeCell ref="A66:F66"/>
    <mergeCell ref="J66:L66"/>
    <mergeCell ref="A67:F67"/>
    <mergeCell ref="J67:L67"/>
    <mergeCell ref="A62:F62"/>
    <mergeCell ref="J62:L62"/>
    <mergeCell ref="A63:F63"/>
    <mergeCell ref="J63:L63"/>
    <mergeCell ref="A64:F64"/>
    <mergeCell ref="J64:L64"/>
    <mergeCell ref="A59:F59"/>
    <mergeCell ref="J59:L59"/>
    <mergeCell ref="A60:F60"/>
    <mergeCell ref="J60:L60"/>
    <mergeCell ref="A61:F61"/>
    <mergeCell ref="J61:L61"/>
    <mergeCell ref="A56:B56"/>
    <mergeCell ref="C56:F56"/>
    <mergeCell ref="H56:I56"/>
    <mergeCell ref="K56:L56"/>
    <mergeCell ref="A58:L58"/>
    <mergeCell ref="A54:B54"/>
    <mergeCell ref="C54:F54"/>
    <mergeCell ref="H54:I54"/>
    <mergeCell ref="K54:L54"/>
    <mergeCell ref="A55:B55"/>
    <mergeCell ref="C55:F55"/>
    <mergeCell ref="H55:I55"/>
    <mergeCell ref="K55:L55"/>
    <mergeCell ref="A52:B52"/>
    <mergeCell ref="C52:F52"/>
    <mergeCell ref="H52:I52"/>
    <mergeCell ref="K52:L52"/>
    <mergeCell ref="A53:B53"/>
    <mergeCell ref="C53:F53"/>
    <mergeCell ref="H53:I53"/>
    <mergeCell ref="K53:L53"/>
    <mergeCell ref="A50:B50"/>
    <mergeCell ref="C50:F50"/>
    <mergeCell ref="H50:I50"/>
    <mergeCell ref="K50:L50"/>
    <mergeCell ref="A51:B51"/>
    <mergeCell ref="C51:F51"/>
    <mergeCell ref="H51:I51"/>
    <mergeCell ref="K51:L51"/>
    <mergeCell ref="A48:B48"/>
    <mergeCell ref="C48:F48"/>
    <mergeCell ref="H48:I48"/>
    <mergeCell ref="K48:L48"/>
    <mergeCell ref="A49:B49"/>
    <mergeCell ref="C49:F49"/>
    <mergeCell ref="H49:I49"/>
    <mergeCell ref="K49:L49"/>
    <mergeCell ref="A46:B46"/>
    <mergeCell ref="C46:F46"/>
    <mergeCell ref="H46:I46"/>
    <mergeCell ref="K46:L46"/>
    <mergeCell ref="A47:B47"/>
    <mergeCell ref="C47:F47"/>
    <mergeCell ref="H47:I47"/>
    <mergeCell ref="K47:L47"/>
    <mergeCell ref="A43:B43"/>
    <mergeCell ref="C43:E43"/>
    <mergeCell ref="H43:I43"/>
    <mergeCell ref="J43:L43"/>
    <mergeCell ref="A45:L45"/>
    <mergeCell ref="A41:B41"/>
    <mergeCell ref="C41:E41"/>
    <mergeCell ref="H41:I41"/>
    <mergeCell ref="J41:L41"/>
    <mergeCell ref="A42:B42"/>
    <mergeCell ref="C42:E42"/>
    <mergeCell ref="H42:I42"/>
    <mergeCell ref="J42:L42"/>
    <mergeCell ref="A39:B39"/>
    <mergeCell ref="C39:E39"/>
    <mergeCell ref="H39:I39"/>
    <mergeCell ref="J39:L39"/>
    <mergeCell ref="A40:B40"/>
    <mergeCell ref="C40:E40"/>
    <mergeCell ref="H40:I40"/>
    <mergeCell ref="J40:L40"/>
    <mergeCell ref="A37:L37"/>
    <mergeCell ref="A38:B38"/>
    <mergeCell ref="C38:E38"/>
    <mergeCell ref="H38:I38"/>
    <mergeCell ref="J38:L38"/>
    <mergeCell ref="A34:C34"/>
    <mergeCell ref="D34:F34"/>
    <mergeCell ref="G34:I34"/>
    <mergeCell ref="J34:L34"/>
    <mergeCell ref="A35:C35"/>
    <mergeCell ref="D35:F35"/>
    <mergeCell ref="G35:I35"/>
    <mergeCell ref="J35:L35"/>
    <mergeCell ref="A32:C32"/>
    <mergeCell ref="D32:F32"/>
    <mergeCell ref="G32:I32"/>
    <mergeCell ref="J32:L32"/>
    <mergeCell ref="A33:C33"/>
    <mergeCell ref="D33:F33"/>
    <mergeCell ref="G33:I33"/>
    <mergeCell ref="J33:L33"/>
    <mergeCell ref="A30:C30"/>
    <mergeCell ref="D30:F30"/>
    <mergeCell ref="G30:I30"/>
    <mergeCell ref="J30:L30"/>
    <mergeCell ref="A31:C31"/>
    <mergeCell ref="D31:F31"/>
    <mergeCell ref="G31:I31"/>
    <mergeCell ref="J31:L31"/>
    <mergeCell ref="A27:C27"/>
    <mergeCell ref="D27:F27"/>
    <mergeCell ref="G27:I27"/>
    <mergeCell ref="J27:L27"/>
    <mergeCell ref="A29:L29"/>
    <mergeCell ref="A25:C25"/>
    <mergeCell ref="D25:F25"/>
    <mergeCell ref="G25:I25"/>
    <mergeCell ref="J25:L25"/>
    <mergeCell ref="A26:C26"/>
    <mergeCell ref="D26:F26"/>
    <mergeCell ref="G26:I26"/>
    <mergeCell ref="J26:L26"/>
    <mergeCell ref="A23:C23"/>
    <mergeCell ref="D23:F23"/>
    <mergeCell ref="G23:I23"/>
    <mergeCell ref="J23:L23"/>
    <mergeCell ref="A24:C24"/>
    <mergeCell ref="D24:F24"/>
    <mergeCell ref="G24:I24"/>
    <mergeCell ref="J24:L24"/>
    <mergeCell ref="A21:L21"/>
    <mergeCell ref="A22:C22"/>
    <mergeCell ref="D22:F22"/>
    <mergeCell ref="G22:I22"/>
    <mergeCell ref="J22:L22"/>
    <mergeCell ref="A18:C18"/>
    <mergeCell ref="D18:F18"/>
    <mergeCell ref="G18:I18"/>
    <mergeCell ref="J18:L18"/>
    <mergeCell ref="A19:C19"/>
    <mergeCell ref="D19:F19"/>
    <mergeCell ref="G19:I19"/>
    <mergeCell ref="J19:L19"/>
    <mergeCell ref="A16:C16"/>
    <mergeCell ref="D16:F16"/>
    <mergeCell ref="G16:I16"/>
    <mergeCell ref="J16:L16"/>
    <mergeCell ref="A17:C17"/>
    <mergeCell ref="D17:F17"/>
    <mergeCell ref="G17:I17"/>
    <mergeCell ref="J17:L17"/>
    <mergeCell ref="A14:C14"/>
    <mergeCell ref="D14:F14"/>
    <mergeCell ref="G14:I14"/>
    <mergeCell ref="J14:L14"/>
    <mergeCell ref="A15:C15"/>
    <mergeCell ref="D15:F15"/>
    <mergeCell ref="G15:I15"/>
    <mergeCell ref="J15:L15"/>
    <mergeCell ref="A11:C11"/>
    <mergeCell ref="D11:F11"/>
    <mergeCell ref="G11:I11"/>
    <mergeCell ref="J11:L11"/>
    <mergeCell ref="A13:L13"/>
    <mergeCell ref="A9:C9"/>
    <mergeCell ref="D9:F9"/>
    <mergeCell ref="G9:I9"/>
    <mergeCell ref="J9:L9"/>
    <mergeCell ref="A10:C10"/>
    <mergeCell ref="D10:F10"/>
    <mergeCell ref="G10:I10"/>
    <mergeCell ref="J10:L10"/>
    <mergeCell ref="A7:C7"/>
    <mergeCell ref="D7:F7"/>
    <mergeCell ref="G7:I7"/>
    <mergeCell ref="J7:L7"/>
    <mergeCell ref="A8:C8"/>
    <mergeCell ref="D8:F8"/>
    <mergeCell ref="G8:I8"/>
    <mergeCell ref="J8:L8"/>
    <mergeCell ref="A1:L1"/>
    <mergeCell ref="A2:L2"/>
    <mergeCell ref="A5:L5"/>
    <mergeCell ref="A6:C6"/>
    <mergeCell ref="D6:F6"/>
    <mergeCell ref="G6:I6"/>
    <mergeCell ref="J6:L6"/>
  </mergeCells>
  <pageMargins left="0.7" right="0.7" top="0.75" bottom="0.75" header="0.3" footer="0.3"/>
  <pageSetup orientation="portrait"/>
  <headerFooter>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06AB8-7766-8E03-AE18-37A7C0B3DDA1}">
  <sheetPr>
    <tabColor rgb="FF2F5597"/>
  </sheetPr>
  <dimension ref="A1:Z200"/>
  <sheetViews>
    <sheetView workbookViewId="0">
      <selection activeCell="C19" sqref="C19"/>
    </sheetView>
  </sheetViews>
  <sheetFormatPr defaultColWidth="8.85546875" defaultRowHeight="15" customHeight="1"/>
  <cols>
    <col min="1" max="1" width="1.140625" customWidth="1"/>
    <col min="2" max="2" width="26.7109375" customWidth="1"/>
    <col min="3" max="3" width="15.28515625" customWidth="1"/>
    <col min="4" max="6" width="9.5703125" customWidth="1"/>
    <col min="7" max="7" width="11.42578125" customWidth="1"/>
  </cols>
  <sheetData>
    <row r="1" spans="1:26" ht="38.1" customHeight="1">
      <c r="A1" s="486" t="s">
        <v>449</v>
      </c>
      <c r="B1" s="486"/>
      <c r="C1" s="486"/>
      <c r="D1" s="486"/>
      <c r="E1" s="486"/>
      <c r="F1" s="486"/>
      <c r="G1" s="486"/>
      <c r="H1" s="468"/>
      <c r="I1" s="468"/>
      <c r="J1" s="468"/>
      <c r="K1" s="468"/>
      <c r="L1" s="468"/>
      <c r="M1" s="468"/>
      <c r="N1" s="468"/>
      <c r="O1" s="468"/>
      <c r="P1" s="468"/>
      <c r="Q1" s="468"/>
      <c r="R1" s="468"/>
      <c r="S1" s="468"/>
      <c r="T1" s="468"/>
      <c r="U1" s="468"/>
      <c r="V1" s="468"/>
      <c r="W1" s="468"/>
      <c r="X1" s="468"/>
      <c r="Y1" s="468"/>
      <c r="Z1" s="468"/>
    </row>
    <row r="2" spans="1:26" ht="36" customHeight="1">
      <c r="A2" s="487" t="s">
        <v>450</v>
      </c>
      <c r="B2" s="487"/>
      <c r="C2" s="487"/>
      <c r="D2" s="487"/>
      <c r="E2" s="487"/>
      <c r="F2" s="487"/>
      <c r="G2" s="487"/>
      <c r="H2" s="468"/>
      <c r="I2" s="468"/>
      <c r="J2" s="468"/>
      <c r="K2" s="468"/>
      <c r="L2" s="468"/>
      <c r="M2" s="468"/>
      <c r="N2" s="468"/>
      <c r="O2" s="468"/>
      <c r="P2" s="468"/>
      <c r="Q2" s="468"/>
      <c r="R2" s="468"/>
      <c r="S2" s="468"/>
      <c r="T2" s="468"/>
      <c r="U2" s="468"/>
      <c r="V2" s="468"/>
      <c r="W2" s="468"/>
      <c r="X2" s="468"/>
      <c r="Y2" s="468"/>
      <c r="Z2" s="468"/>
    </row>
    <row r="3" spans="1:26">
      <c r="A3" s="488" t="s">
        <v>184</v>
      </c>
      <c r="B3" s="488"/>
      <c r="C3" s="488"/>
      <c r="D3" s="488"/>
      <c r="E3" s="488"/>
      <c r="F3" s="488"/>
      <c r="G3" s="488"/>
      <c r="H3" s="468"/>
      <c r="I3" s="468"/>
      <c r="J3" s="468"/>
      <c r="K3" s="468"/>
      <c r="L3" s="468"/>
      <c r="M3" s="468"/>
      <c r="N3" s="468"/>
      <c r="O3" s="468"/>
      <c r="P3" s="468"/>
      <c r="Q3" s="468"/>
      <c r="R3" s="468"/>
      <c r="S3" s="468"/>
      <c r="T3" s="468"/>
      <c r="U3" s="468"/>
      <c r="V3" s="468"/>
      <c r="W3" s="468"/>
      <c r="X3" s="468"/>
      <c r="Y3" s="468"/>
      <c r="Z3" s="468"/>
    </row>
    <row r="4" spans="1:26">
      <c r="A4" s="468"/>
      <c r="B4" s="468"/>
      <c r="C4" s="468"/>
      <c r="D4" s="468"/>
      <c r="E4" s="468"/>
      <c r="F4" s="468"/>
      <c r="G4" s="468"/>
      <c r="H4" s="468"/>
      <c r="I4" s="468"/>
      <c r="J4" s="468"/>
      <c r="K4" s="468"/>
      <c r="L4" s="468"/>
      <c r="M4" s="468"/>
      <c r="N4" s="468"/>
      <c r="O4" s="468"/>
      <c r="P4" s="468"/>
      <c r="Q4" s="468"/>
      <c r="R4" s="468"/>
      <c r="S4" s="468"/>
      <c r="T4" s="468"/>
      <c r="U4" s="468"/>
      <c r="V4" s="468"/>
      <c r="W4" s="468"/>
      <c r="X4" s="468"/>
      <c r="Y4" s="468"/>
      <c r="Z4" s="468"/>
    </row>
    <row r="5" spans="1:26" ht="17.25">
      <c r="A5" s="468"/>
      <c r="B5" s="489" t="s">
        <v>451</v>
      </c>
      <c r="C5" s="490"/>
      <c r="D5" s="490"/>
      <c r="E5" s="490"/>
      <c r="F5" s="490"/>
      <c r="G5" s="490"/>
      <c r="H5" s="468"/>
      <c r="I5" s="468"/>
      <c r="J5" s="468"/>
      <c r="K5" s="468"/>
      <c r="L5" s="468"/>
      <c r="M5" s="468"/>
      <c r="N5" s="468"/>
      <c r="O5" s="468"/>
      <c r="P5" s="468"/>
      <c r="Q5" s="468"/>
      <c r="R5" s="468"/>
      <c r="S5" s="468"/>
      <c r="T5" s="468"/>
      <c r="U5" s="468"/>
      <c r="V5" s="468"/>
      <c r="W5" s="468"/>
      <c r="X5" s="468"/>
      <c r="Y5" s="468"/>
      <c r="Z5" s="468"/>
    </row>
    <row r="6" spans="1:26">
      <c r="A6" s="468"/>
      <c r="B6" s="494" t="s">
        <v>452</v>
      </c>
      <c r="C6" s="493"/>
      <c r="D6" s="493"/>
      <c r="E6" s="493"/>
      <c r="F6" s="493"/>
      <c r="G6" s="493"/>
      <c r="H6" s="468"/>
      <c r="I6" s="468"/>
      <c r="J6" s="468"/>
      <c r="K6" s="468"/>
      <c r="L6" s="468"/>
      <c r="M6" s="468"/>
      <c r="N6" s="468"/>
      <c r="O6" s="468"/>
      <c r="P6" s="468"/>
      <c r="Q6" s="468"/>
      <c r="R6" s="468"/>
      <c r="S6" s="468"/>
      <c r="T6" s="468"/>
      <c r="U6" s="468"/>
      <c r="V6" s="468"/>
      <c r="W6" s="468"/>
      <c r="X6" s="468"/>
      <c r="Y6" s="468"/>
      <c r="Z6" s="468"/>
    </row>
    <row r="7" spans="1:26">
      <c r="A7" s="468"/>
      <c r="B7" s="468"/>
      <c r="C7" s="468"/>
      <c r="D7" s="468"/>
      <c r="E7" s="468"/>
      <c r="F7" s="468"/>
      <c r="G7" s="468"/>
      <c r="H7" s="468"/>
      <c r="I7" s="468"/>
      <c r="J7" s="468"/>
      <c r="K7" s="468"/>
      <c r="L7" s="468"/>
      <c r="M7" s="468"/>
      <c r="N7" s="468"/>
      <c r="O7" s="468"/>
      <c r="P7" s="468"/>
      <c r="Q7" s="468"/>
      <c r="R7" s="468"/>
      <c r="S7" s="468"/>
      <c r="T7" s="468"/>
      <c r="U7" s="468"/>
      <c r="V7" s="468"/>
      <c r="W7" s="468"/>
      <c r="X7" s="468"/>
      <c r="Y7" s="468"/>
      <c r="Z7" s="468"/>
    </row>
    <row r="8" spans="1:26" ht="17.25">
      <c r="A8" s="468"/>
      <c r="B8" s="489" t="s">
        <v>453</v>
      </c>
      <c r="C8" s="490"/>
      <c r="D8" s="490"/>
      <c r="E8" s="490"/>
      <c r="F8" s="490"/>
      <c r="G8" s="490"/>
      <c r="H8" s="468"/>
      <c r="I8" s="468"/>
      <c r="J8" s="468"/>
      <c r="K8" s="468"/>
      <c r="L8" s="468"/>
      <c r="M8" s="468"/>
      <c r="N8" s="468"/>
      <c r="O8" s="468"/>
      <c r="P8" s="468"/>
      <c r="Q8" s="468"/>
      <c r="R8" s="468"/>
      <c r="S8" s="468"/>
      <c r="T8" s="468"/>
      <c r="U8" s="468"/>
      <c r="V8" s="468"/>
      <c r="W8" s="468"/>
      <c r="X8" s="468"/>
      <c r="Y8" s="468"/>
      <c r="Z8" s="468"/>
    </row>
    <row r="9" spans="1:26">
      <c r="A9" s="468"/>
      <c r="B9" s="494" t="s">
        <v>454</v>
      </c>
      <c r="C9" s="493"/>
      <c r="D9" s="493"/>
      <c r="E9" s="493"/>
      <c r="F9" s="493"/>
      <c r="G9" s="493"/>
      <c r="H9" s="468"/>
      <c r="I9" s="468"/>
      <c r="J9" s="468"/>
      <c r="K9" s="468"/>
      <c r="L9" s="468"/>
      <c r="M9" s="468"/>
      <c r="N9" s="468"/>
      <c r="O9" s="468"/>
      <c r="P9" s="468"/>
      <c r="Q9" s="468"/>
      <c r="R9" s="468"/>
      <c r="S9" s="468"/>
      <c r="T9" s="468"/>
      <c r="U9" s="468"/>
      <c r="V9" s="468"/>
      <c r="W9" s="468"/>
      <c r="X9" s="468"/>
      <c r="Y9" s="468"/>
      <c r="Z9" s="468"/>
    </row>
    <row r="10" spans="1:26">
      <c r="A10" s="468"/>
      <c r="B10" s="468"/>
      <c r="C10" s="468"/>
      <c r="D10" s="468"/>
      <c r="E10" s="468"/>
      <c r="F10" s="468"/>
      <c r="G10" s="468"/>
      <c r="H10" s="468"/>
      <c r="I10" s="468"/>
      <c r="J10" s="468"/>
      <c r="K10" s="468"/>
      <c r="L10" s="468"/>
      <c r="M10" s="468"/>
      <c r="N10" s="468"/>
      <c r="O10" s="468"/>
      <c r="P10" s="468"/>
      <c r="Q10" s="468"/>
      <c r="R10" s="468"/>
      <c r="S10" s="468"/>
      <c r="T10" s="468"/>
      <c r="U10" s="468"/>
      <c r="V10" s="468"/>
      <c r="W10" s="468"/>
      <c r="X10" s="468"/>
      <c r="Y10" s="468"/>
      <c r="Z10" s="468"/>
    </row>
    <row r="11" spans="1:26" ht="17.25">
      <c r="A11" s="468"/>
      <c r="B11" s="489" t="s">
        <v>455</v>
      </c>
      <c r="C11" s="490"/>
      <c r="D11" s="490"/>
      <c r="E11" s="490"/>
      <c r="F11" s="490"/>
      <c r="G11" s="490"/>
      <c r="H11" s="468"/>
      <c r="I11" s="468"/>
      <c r="J11" s="468"/>
      <c r="K11" s="468"/>
      <c r="L11" s="468"/>
      <c r="M11" s="468"/>
      <c r="N11" s="468"/>
      <c r="O11" s="468"/>
      <c r="P11" s="468"/>
      <c r="Q11" s="468"/>
      <c r="R11" s="468"/>
      <c r="S11" s="468"/>
      <c r="T11" s="468"/>
      <c r="U11" s="468"/>
      <c r="V11" s="468"/>
      <c r="W11" s="468"/>
      <c r="X11" s="468"/>
      <c r="Y11" s="468"/>
      <c r="Z11" s="468"/>
    </row>
    <row r="12" spans="1:26">
      <c r="A12" s="468"/>
      <c r="B12" s="494" t="s">
        <v>456</v>
      </c>
      <c r="C12" s="493"/>
      <c r="D12" s="493"/>
      <c r="E12" s="493"/>
      <c r="F12" s="493"/>
      <c r="G12" s="493"/>
      <c r="H12" s="468"/>
      <c r="I12" s="468"/>
      <c r="J12" s="468"/>
      <c r="K12" s="468"/>
      <c r="L12" s="468"/>
      <c r="M12" s="468"/>
      <c r="N12" s="468"/>
      <c r="O12" s="468"/>
      <c r="P12" s="468"/>
      <c r="Q12" s="468"/>
      <c r="R12" s="468"/>
      <c r="S12" s="468"/>
      <c r="T12" s="468"/>
      <c r="U12" s="468"/>
      <c r="V12" s="468"/>
      <c r="W12" s="468"/>
      <c r="X12" s="468"/>
      <c r="Y12" s="468"/>
      <c r="Z12" s="468"/>
    </row>
    <row r="13" spans="1:26">
      <c r="A13" s="468"/>
      <c r="B13" s="474"/>
      <c r="C13" s="474"/>
      <c r="D13" s="475"/>
      <c r="E13" s="476"/>
      <c r="F13" s="475"/>
      <c r="G13" s="474"/>
      <c r="H13" s="468"/>
      <c r="I13" s="468"/>
      <c r="J13" s="468"/>
      <c r="K13" s="468"/>
      <c r="L13" s="468"/>
      <c r="M13" s="468"/>
      <c r="N13" s="468"/>
      <c r="O13" s="468"/>
      <c r="P13" s="468"/>
      <c r="Q13" s="468"/>
      <c r="R13" s="468"/>
      <c r="S13" s="468"/>
      <c r="T13" s="468"/>
      <c r="U13" s="468"/>
      <c r="V13" s="468"/>
      <c r="W13" s="468"/>
      <c r="X13" s="468"/>
      <c r="Y13" s="468"/>
      <c r="Z13" s="468"/>
    </row>
    <row r="14" spans="1:26" ht="25.5">
      <c r="A14" s="468"/>
      <c r="B14" s="464" t="s">
        <v>457</v>
      </c>
      <c r="C14" s="465"/>
      <c r="D14" s="465"/>
      <c r="E14" s="497"/>
      <c r="F14" s="465"/>
      <c r="G14" s="467"/>
      <c r="H14" s="468"/>
      <c r="I14" s="468"/>
      <c r="J14" s="468"/>
      <c r="K14" s="468"/>
      <c r="L14" s="468"/>
      <c r="M14" s="468"/>
      <c r="N14" s="468"/>
      <c r="O14" s="468"/>
      <c r="P14" s="468"/>
      <c r="Q14" s="468"/>
      <c r="R14" s="468"/>
      <c r="S14" s="468"/>
      <c r="T14" s="468"/>
      <c r="U14" s="468"/>
      <c r="V14" s="468"/>
      <c r="W14" s="468"/>
      <c r="X14" s="468"/>
      <c r="Y14" s="468"/>
      <c r="Z14" s="468"/>
    </row>
    <row r="15" spans="1:26">
      <c r="A15" s="468"/>
      <c r="B15" s="498" t="s">
        <v>254</v>
      </c>
      <c r="C15" s="473" t="s">
        <v>458</v>
      </c>
      <c r="D15" s="471" t="s">
        <v>256</v>
      </c>
      <c r="E15" s="499" t="s">
        <v>257</v>
      </c>
      <c r="F15" s="471" t="s">
        <v>258</v>
      </c>
      <c r="G15" s="500" t="s">
        <v>17</v>
      </c>
      <c r="H15" s="468"/>
      <c r="I15" s="468"/>
      <c r="J15" s="468"/>
      <c r="K15" s="468"/>
      <c r="L15" s="468"/>
      <c r="M15" s="468"/>
      <c r="N15" s="468"/>
      <c r="O15" s="468"/>
      <c r="P15" s="468"/>
      <c r="Q15" s="468"/>
      <c r="R15" s="468"/>
      <c r="S15" s="468"/>
      <c r="T15" s="468"/>
      <c r="U15" s="468"/>
      <c r="V15" s="468"/>
      <c r="W15" s="468"/>
      <c r="X15" s="468"/>
      <c r="Y15" s="468"/>
      <c r="Z15" s="468"/>
    </row>
    <row r="16" spans="1:26" ht="51">
      <c r="A16" s="468"/>
      <c r="B16" s="501" t="s">
        <v>259</v>
      </c>
      <c r="C16" s="509" t="s">
        <v>459</v>
      </c>
      <c r="D16" s="502">
        <f>'Risk Quantification'!K15</f>
        <v>10</v>
      </c>
      <c r="E16" s="503">
        <f>'Risk Quantification'!L15</f>
        <v>7.5</v>
      </c>
      <c r="F16" s="502" t="s">
        <v>261</v>
      </c>
      <c r="G16" s="504" t="s">
        <v>262</v>
      </c>
      <c r="H16" s="468"/>
      <c r="I16" s="468"/>
      <c r="J16" s="468"/>
      <c r="K16" s="468"/>
      <c r="L16" s="468"/>
      <c r="M16" s="468"/>
      <c r="N16" s="468"/>
      <c r="O16" s="468"/>
      <c r="P16" s="468"/>
      <c r="Q16" s="468"/>
      <c r="R16" s="468"/>
      <c r="S16" s="468"/>
      <c r="T16" s="468"/>
      <c r="U16" s="468"/>
      <c r="V16" s="468"/>
      <c r="W16" s="468"/>
      <c r="X16" s="468"/>
      <c r="Y16" s="468"/>
      <c r="Z16" s="468"/>
    </row>
    <row r="17" spans="1:26" ht="63.75">
      <c r="A17" s="468"/>
      <c r="B17" s="498" t="s">
        <v>263</v>
      </c>
      <c r="C17" s="473" t="s">
        <v>264</v>
      </c>
      <c r="D17" s="471">
        <f>'Risk Quantification'!K5</f>
        <v>8</v>
      </c>
      <c r="E17" s="499">
        <f>'Risk Quantification'!L5</f>
        <v>6.5</v>
      </c>
      <c r="F17" s="471" t="s">
        <v>261</v>
      </c>
      <c r="G17" s="500" t="s">
        <v>68</v>
      </c>
      <c r="H17" s="468"/>
      <c r="I17" s="468"/>
      <c r="J17" s="468"/>
      <c r="K17" s="468"/>
      <c r="L17" s="468"/>
      <c r="M17" s="468"/>
      <c r="N17" s="468"/>
      <c r="O17" s="468"/>
      <c r="P17" s="468"/>
      <c r="Q17" s="468"/>
      <c r="R17" s="468"/>
      <c r="S17" s="468"/>
      <c r="T17" s="468"/>
      <c r="U17" s="468"/>
      <c r="V17" s="468"/>
      <c r="W17" s="468"/>
      <c r="X17" s="468"/>
      <c r="Y17" s="468"/>
      <c r="Z17" s="468"/>
    </row>
    <row r="18" spans="1:26" ht="51">
      <c r="A18" s="468"/>
      <c r="B18" s="501" t="s">
        <v>265</v>
      </c>
      <c r="C18" s="509" t="s">
        <v>266</v>
      </c>
      <c r="D18" s="502">
        <f>'Risk Quantification'!K14</f>
        <v>10</v>
      </c>
      <c r="E18" s="503">
        <f>'Risk Quantification'!L14</f>
        <v>6</v>
      </c>
      <c r="F18" s="502" t="s">
        <v>261</v>
      </c>
      <c r="G18" s="504" t="s">
        <v>173</v>
      </c>
      <c r="H18" s="468"/>
      <c r="I18" s="468"/>
      <c r="J18" s="468"/>
      <c r="K18" s="468"/>
      <c r="L18" s="468"/>
      <c r="M18" s="468"/>
      <c r="N18" s="468"/>
      <c r="O18" s="468"/>
      <c r="P18" s="468"/>
      <c r="Q18" s="468"/>
      <c r="R18" s="468"/>
      <c r="S18" s="468"/>
      <c r="T18" s="468"/>
      <c r="U18" s="468"/>
      <c r="V18" s="468"/>
      <c r="W18" s="468"/>
      <c r="X18" s="468"/>
      <c r="Y18" s="468"/>
      <c r="Z18" s="468"/>
    </row>
    <row r="19" spans="1:26" ht="51">
      <c r="A19" s="468"/>
      <c r="B19" s="505" t="s">
        <v>267</v>
      </c>
      <c r="C19" s="510" t="s">
        <v>268</v>
      </c>
      <c r="D19" s="506">
        <f>'Risk Quantification'!K8</f>
        <v>8</v>
      </c>
      <c r="E19" s="507">
        <f>'Risk Quantification'!L8</f>
        <v>5.5</v>
      </c>
      <c r="F19" s="506" t="s">
        <v>261</v>
      </c>
      <c r="G19" s="508" t="s">
        <v>269</v>
      </c>
      <c r="H19" s="468"/>
      <c r="I19" s="468"/>
      <c r="J19" s="468"/>
      <c r="K19" s="468"/>
      <c r="L19" s="468"/>
      <c r="M19" s="468"/>
      <c r="N19" s="468"/>
      <c r="O19" s="468"/>
      <c r="P19" s="468"/>
      <c r="Q19" s="468"/>
      <c r="R19" s="468"/>
      <c r="S19" s="468"/>
      <c r="T19" s="468"/>
      <c r="U19" s="468"/>
      <c r="V19" s="468"/>
      <c r="W19" s="468"/>
      <c r="X19" s="468"/>
      <c r="Y19" s="468"/>
      <c r="Z19" s="468"/>
    </row>
    <row r="20" spans="1:26">
      <c r="A20" s="468"/>
      <c r="B20" s="474" t="s">
        <v>270</v>
      </c>
      <c r="C20" s="474" t="s">
        <v>271</v>
      </c>
      <c r="D20" s="475">
        <f>'Risk Quantification'!K9</f>
        <v>8</v>
      </c>
      <c r="E20" s="476">
        <f>'Risk Quantification'!L9</f>
        <v>4.8</v>
      </c>
      <c r="F20" s="475" t="s">
        <v>261</v>
      </c>
      <c r="G20" s="474" t="s">
        <v>150</v>
      </c>
      <c r="H20" s="468"/>
      <c r="I20" s="468"/>
      <c r="J20" s="468"/>
      <c r="K20" s="468"/>
      <c r="L20" s="468"/>
      <c r="M20" s="468"/>
      <c r="N20" s="468"/>
      <c r="O20" s="468"/>
      <c r="P20" s="468"/>
      <c r="Q20" s="468"/>
      <c r="R20" s="468"/>
      <c r="S20" s="468"/>
      <c r="T20" s="468"/>
      <c r="U20" s="468"/>
      <c r="V20" s="468"/>
      <c r="W20" s="468"/>
      <c r="X20" s="468"/>
      <c r="Y20" s="468"/>
      <c r="Z20" s="468"/>
    </row>
    <row r="21" spans="1:26" ht="17.25">
      <c r="A21" s="468"/>
      <c r="B21" s="469"/>
      <c r="C21" s="468"/>
      <c r="D21" s="468"/>
      <c r="E21" s="468"/>
      <c r="F21" s="468"/>
      <c r="G21" s="468"/>
      <c r="H21" s="468"/>
      <c r="I21" s="468"/>
      <c r="J21" s="468"/>
      <c r="K21" s="468"/>
      <c r="L21" s="468"/>
      <c r="M21" s="468"/>
      <c r="N21" s="468"/>
      <c r="O21" s="468"/>
      <c r="P21" s="468"/>
      <c r="Q21" s="468"/>
      <c r="R21" s="468"/>
      <c r="S21" s="468"/>
      <c r="T21" s="468"/>
      <c r="U21" s="468"/>
      <c r="V21" s="468"/>
      <c r="W21" s="468"/>
      <c r="X21" s="468"/>
      <c r="Y21" s="468"/>
      <c r="Z21" s="468"/>
    </row>
    <row r="22" spans="1:26" ht="38.25">
      <c r="A22" s="468"/>
      <c r="B22" s="464" t="s">
        <v>460</v>
      </c>
      <c r="C22" s="387"/>
      <c r="D22" s="387"/>
      <c r="E22" s="387"/>
      <c r="F22" s="387"/>
      <c r="G22" s="388"/>
      <c r="H22" s="468"/>
      <c r="I22" s="468"/>
      <c r="J22" s="468"/>
      <c r="K22" s="468"/>
      <c r="L22" s="468"/>
      <c r="M22" s="468"/>
      <c r="N22" s="468"/>
      <c r="O22" s="468"/>
      <c r="P22" s="468"/>
      <c r="Q22" s="468"/>
      <c r="R22" s="468"/>
      <c r="S22" s="468"/>
      <c r="T22" s="468"/>
      <c r="U22" s="468"/>
      <c r="V22" s="468"/>
      <c r="W22" s="468"/>
      <c r="X22" s="468"/>
      <c r="Y22" s="468"/>
      <c r="Z22" s="468"/>
    </row>
    <row r="23" spans="1:26" ht="25.5">
      <c r="A23" s="468"/>
      <c r="B23" s="470" t="s">
        <v>461</v>
      </c>
      <c r="C23" s="473" t="s">
        <v>462</v>
      </c>
      <c r="D23" s="511" t="s">
        <v>463</v>
      </c>
      <c r="E23" s="471" t="s">
        <v>464</v>
      </c>
      <c r="F23" s="511" t="s">
        <v>277</v>
      </c>
      <c r="G23" s="512" t="s">
        <v>465</v>
      </c>
      <c r="H23" s="468"/>
      <c r="I23" s="468"/>
      <c r="J23" s="468"/>
      <c r="K23" s="468"/>
      <c r="L23" s="468"/>
      <c r="M23" s="468"/>
      <c r="N23" s="468"/>
      <c r="O23" s="468"/>
      <c r="P23" s="468"/>
      <c r="Q23" s="468"/>
      <c r="R23" s="468"/>
      <c r="S23" s="468"/>
      <c r="T23" s="468"/>
      <c r="U23" s="468"/>
      <c r="V23" s="468"/>
      <c r="W23" s="468"/>
      <c r="X23" s="468"/>
      <c r="Y23" s="468"/>
      <c r="Z23" s="468"/>
    </row>
    <row r="24" spans="1:26" ht="63.75">
      <c r="A24" s="468"/>
      <c r="B24" s="513" t="s">
        <v>466</v>
      </c>
      <c r="C24" s="509" t="s">
        <v>467</v>
      </c>
      <c r="D24" s="514" t="s">
        <v>31</v>
      </c>
      <c r="E24" s="502">
        <v>3</v>
      </c>
      <c r="F24" s="514" t="s">
        <v>468</v>
      </c>
      <c r="G24" s="515" t="s">
        <v>469</v>
      </c>
      <c r="H24" s="468"/>
      <c r="I24" s="468"/>
      <c r="J24" s="468"/>
      <c r="K24" s="468"/>
      <c r="L24" s="468"/>
      <c r="M24" s="468"/>
      <c r="N24" s="468"/>
      <c r="O24" s="468"/>
      <c r="P24" s="468"/>
      <c r="Q24" s="468"/>
      <c r="R24" s="468"/>
      <c r="S24" s="468"/>
      <c r="T24" s="468"/>
      <c r="U24" s="468"/>
      <c r="V24" s="468"/>
      <c r="W24" s="468"/>
      <c r="X24" s="468"/>
      <c r="Y24" s="468"/>
      <c r="Z24" s="468"/>
    </row>
    <row r="25" spans="1:26" ht="63.75">
      <c r="A25" s="468"/>
      <c r="B25" s="470" t="s">
        <v>470</v>
      </c>
      <c r="C25" s="473" t="s">
        <v>471</v>
      </c>
      <c r="D25" s="511" t="s">
        <v>472</v>
      </c>
      <c r="E25" s="471">
        <v>3</v>
      </c>
      <c r="F25" s="511" t="s">
        <v>468</v>
      </c>
      <c r="G25" s="512" t="s">
        <v>473</v>
      </c>
      <c r="H25" s="468"/>
      <c r="I25" s="468"/>
      <c r="J25" s="468"/>
      <c r="K25" s="468"/>
      <c r="L25" s="468"/>
      <c r="M25" s="468"/>
      <c r="N25" s="468"/>
      <c r="O25" s="468"/>
      <c r="P25" s="468"/>
      <c r="Q25" s="468"/>
      <c r="R25" s="468"/>
      <c r="S25" s="468"/>
      <c r="T25" s="468"/>
      <c r="U25" s="468"/>
      <c r="V25" s="468"/>
      <c r="W25" s="468"/>
      <c r="X25" s="468"/>
      <c r="Y25" s="468"/>
      <c r="Z25" s="468"/>
    </row>
    <row r="26" spans="1:26" ht="63.75">
      <c r="A26" s="468"/>
      <c r="B26" s="513" t="s">
        <v>474</v>
      </c>
      <c r="C26" s="509" t="s">
        <v>475</v>
      </c>
      <c r="D26" s="514" t="s">
        <v>476</v>
      </c>
      <c r="E26" s="502">
        <v>2</v>
      </c>
      <c r="F26" s="514" t="s">
        <v>477</v>
      </c>
      <c r="G26" s="515" t="s">
        <v>478</v>
      </c>
      <c r="H26" s="468"/>
      <c r="I26" s="468"/>
      <c r="J26" s="468"/>
      <c r="K26" s="468"/>
      <c r="L26" s="468"/>
      <c r="M26" s="468"/>
      <c r="N26" s="468"/>
      <c r="O26" s="468"/>
      <c r="P26" s="468"/>
      <c r="Q26" s="468"/>
      <c r="R26" s="468"/>
      <c r="S26" s="468"/>
      <c r="T26" s="468"/>
      <c r="U26" s="468"/>
      <c r="V26" s="468"/>
      <c r="W26" s="468"/>
      <c r="X26" s="468"/>
      <c r="Y26" s="468"/>
      <c r="Z26" s="468"/>
    </row>
    <row r="27" spans="1:26" ht="76.5">
      <c r="A27" s="468"/>
      <c r="B27" s="470" t="s">
        <v>479</v>
      </c>
      <c r="C27" s="473" t="s">
        <v>480</v>
      </c>
      <c r="D27" s="511" t="s">
        <v>481</v>
      </c>
      <c r="E27" s="471">
        <v>2</v>
      </c>
      <c r="F27" s="511" t="s">
        <v>477</v>
      </c>
      <c r="G27" s="512" t="s">
        <v>482</v>
      </c>
      <c r="H27" s="468"/>
      <c r="I27" s="468"/>
      <c r="J27" s="468"/>
      <c r="K27" s="468"/>
      <c r="L27" s="468"/>
      <c r="M27" s="468"/>
      <c r="N27" s="468"/>
      <c r="O27" s="468"/>
      <c r="P27" s="468"/>
      <c r="Q27" s="468"/>
      <c r="R27" s="468"/>
      <c r="S27" s="468"/>
      <c r="T27" s="468"/>
      <c r="U27" s="468"/>
      <c r="V27" s="468"/>
      <c r="W27" s="468"/>
      <c r="X27" s="468"/>
      <c r="Y27" s="468"/>
      <c r="Z27" s="468"/>
    </row>
    <row r="28" spans="1:26" ht="51">
      <c r="A28" s="468"/>
      <c r="B28" s="513" t="s">
        <v>483</v>
      </c>
      <c r="C28" s="509" t="s">
        <v>484</v>
      </c>
      <c r="D28" s="514" t="s">
        <v>485</v>
      </c>
      <c r="E28" s="502">
        <v>1</v>
      </c>
      <c r="F28" s="514" t="s">
        <v>486</v>
      </c>
      <c r="G28" s="515" t="s">
        <v>487</v>
      </c>
      <c r="H28" s="468"/>
      <c r="I28" s="468"/>
      <c r="J28" s="468"/>
      <c r="K28" s="468"/>
      <c r="L28" s="468"/>
      <c r="M28" s="468"/>
      <c r="N28" s="468"/>
      <c r="O28" s="468"/>
      <c r="P28" s="468"/>
      <c r="Q28" s="468"/>
      <c r="R28" s="468"/>
      <c r="S28" s="468"/>
      <c r="T28" s="468"/>
      <c r="U28" s="468"/>
      <c r="V28" s="468"/>
      <c r="W28" s="468"/>
      <c r="X28" s="468"/>
      <c r="Y28" s="468"/>
      <c r="Z28" s="468"/>
    </row>
    <row r="29" spans="1:26" ht="51">
      <c r="A29" s="468"/>
      <c r="B29" s="470" t="s">
        <v>488</v>
      </c>
      <c r="C29" s="473" t="s">
        <v>489</v>
      </c>
      <c r="D29" s="511" t="s">
        <v>24</v>
      </c>
      <c r="E29" s="471">
        <v>1</v>
      </c>
      <c r="F29" s="511" t="s">
        <v>486</v>
      </c>
      <c r="G29" s="512" t="s">
        <v>490</v>
      </c>
      <c r="H29" s="468"/>
      <c r="I29" s="468"/>
      <c r="J29" s="468"/>
      <c r="K29" s="468"/>
      <c r="L29" s="468"/>
      <c r="M29" s="468"/>
      <c r="N29" s="468"/>
      <c r="O29" s="468"/>
      <c r="P29" s="468"/>
      <c r="Q29" s="468"/>
      <c r="R29" s="468"/>
      <c r="S29" s="468"/>
      <c r="T29" s="468"/>
      <c r="U29" s="468"/>
      <c r="V29" s="468"/>
      <c r="W29" s="468"/>
      <c r="X29" s="468"/>
      <c r="Y29" s="468"/>
      <c r="Z29" s="468"/>
    </row>
    <row r="30" spans="1:26" ht="63.75">
      <c r="A30" s="468"/>
      <c r="B30" s="513" t="s">
        <v>491</v>
      </c>
      <c r="C30" s="509" t="s">
        <v>492</v>
      </c>
      <c r="D30" s="514" t="s">
        <v>493</v>
      </c>
      <c r="E30" s="502">
        <v>2</v>
      </c>
      <c r="F30" s="514" t="s">
        <v>477</v>
      </c>
      <c r="G30" s="515" t="s">
        <v>494</v>
      </c>
      <c r="H30" s="468"/>
      <c r="I30" s="468"/>
      <c r="J30" s="468"/>
      <c r="K30" s="468"/>
      <c r="L30" s="468"/>
      <c r="M30" s="468"/>
      <c r="N30" s="468"/>
      <c r="O30" s="468"/>
      <c r="P30" s="468"/>
      <c r="Q30" s="468"/>
      <c r="R30" s="468"/>
      <c r="S30" s="468"/>
      <c r="T30" s="468"/>
      <c r="U30" s="468"/>
      <c r="V30" s="468"/>
      <c r="W30" s="468"/>
      <c r="X30" s="468"/>
      <c r="Y30" s="468"/>
      <c r="Z30" s="468"/>
    </row>
    <row r="31" spans="1:26" ht="76.5">
      <c r="A31" s="468"/>
      <c r="B31" s="516" t="s">
        <v>495</v>
      </c>
      <c r="C31" s="510" t="s">
        <v>496</v>
      </c>
      <c r="D31" s="517" t="s">
        <v>497</v>
      </c>
      <c r="E31" s="506">
        <v>2</v>
      </c>
      <c r="F31" s="517" t="s">
        <v>477</v>
      </c>
      <c r="G31" s="518" t="s">
        <v>498</v>
      </c>
      <c r="H31" s="468"/>
      <c r="I31" s="468"/>
      <c r="J31" s="468"/>
      <c r="K31" s="468"/>
      <c r="L31" s="468"/>
      <c r="M31" s="468"/>
      <c r="N31" s="468"/>
      <c r="O31" s="468"/>
      <c r="P31" s="468"/>
      <c r="Q31" s="468"/>
      <c r="R31" s="468"/>
      <c r="S31" s="468"/>
      <c r="T31" s="468"/>
      <c r="U31" s="468"/>
      <c r="V31" s="468"/>
      <c r="W31" s="468"/>
      <c r="X31" s="468"/>
      <c r="Y31" s="468"/>
      <c r="Z31" s="468"/>
    </row>
    <row r="32" spans="1:26">
      <c r="A32" s="468"/>
      <c r="B32" s="475" t="s">
        <v>499</v>
      </c>
      <c r="C32" s="474" t="s">
        <v>500</v>
      </c>
      <c r="D32" s="474" t="s">
        <v>501</v>
      </c>
      <c r="E32" s="475">
        <v>2</v>
      </c>
      <c r="F32" s="475" t="s">
        <v>477</v>
      </c>
      <c r="G32" s="474" t="s">
        <v>502</v>
      </c>
      <c r="H32" s="468"/>
      <c r="I32" s="468"/>
      <c r="J32" s="468"/>
      <c r="K32" s="468"/>
      <c r="L32" s="468"/>
      <c r="M32" s="468"/>
      <c r="N32" s="468"/>
      <c r="O32" s="468"/>
      <c r="P32" s="468"/>
      <c r="Q32" s="468"/>
      <c r="R32" s="468"/>
      <c r="S32" s="468"/>
      <c r="T32" s="468"/>
      <c r="U32" s="468"/>
      <c r="V32" s="468"/>
      <c r="W32" s="468"/>
      <c r="X32" s="468"/>
      <c r="Y32" s="468"/>
      <c r="Z32" s="468"/>
    </row>
    <row r="33" spans="1:26" ht="17.25">
      <c r="A33" s="468"/>
      <c r="B33" s="489" t="s">
        <v>503</v>
      </c>
      <c r="C33" s="491" t="s">
        <v>504</v>
      </c>
      <c r="D33" s="491" t="s">
        <v>505</v>
      </c>
      <c r="E33" s="491">
        <v>2</v>
      </c>
      <c r="F33" s="491" t="s">
        <v>477</v>
      </c>
      <c r="G33" s="491" t="s">
        <v>506</v>
      </c>
      <c r="H33" s="468"/>
      <c r="I33" s="468"/>
      <c r="J33" s="468"/>
      <c r="K33" s="468"/>
      <c r="L33" s="468"/>
      <c r="M33" s="468"/>
      <c r="N33" s="468"/>
      <c r="O33" s="468"/>
      <c r="P33" s="468"/>
      <c r="Q33" s="468"/>
      <c r="R33" s="468"/>
      <c r="S33" s="468"/>
      <c r="T33" s="468"/>
      <c r="U33" s="468"/>
      <c r="V33" s="468"/>
      <c r="W33" s="468"/>
      <c r="X33" s="468"/>
      <c r="Y33" s="468"/>
      <c r="Z33" s="468"/>
    </row>
    <row r="34" spans="1:26">
      <c r="A34" s="468"/>
      <c r="B34" s="496"/>
      <c r="C34" s="495"/>
      <c r="D34" s="495"/>
      <c r="E34" s="495"/>
      <c r="F34" s="495"/>
      <c r="G34" s="495"/>
      <c r="H34" s="468"/>
      <c r="I34" s="468"/>
      <c r="J34" s="468"/>
      <c r="K34" s="468"/>
      <c r="L34" s="468"/>
      <c r="M34" s="468"/>
      <c r="N34" s="468"/>
      <c r="O34" s="468"/>
      <c r="P34" s="468"/>
      <c r="Q34" s="468"/>
      <c r="R34" s="468"/>
      <c r="S34" s="468"/>
      <c r="T34" s="468"/>
      <c r="U34" s="468"/>
      <c r="V34" s="468"/>
      <c r="W34" s="468"/>
      <c r="X34" s="468"/>
      <c r="Y34" s="468"/>
      <c r="Z34" s="468"/>
    </row>
    <row r="35" spans="1:26">
      <c r="A35" s="468"/>
      <c r="B35" s="475" t="s">
        <v>507</v>
      </c>
      <c r="C35" s="475"/>
      <c r="D35" s="484"/>
      <c r="E35" s="474"/>
      <c r="F35" s="474"/>
      <c r="G35" s="474"/>
      <c r="H35" s="468"/>
      <c r="I35" s="468"/>
      <c r="J35" s="468"/>
      <c r="K35" s="468"/>
      <c r="L35" s="468"/>
      <c r="M35" s="468"/>
      <c r="N35" s="468"/>
      <c r="O35" s="468"/>
      <c r="P35" s="468"/>
      <c r="Q35" s="468"/>
      <c r="R35" s="468"/>
      <c r="S35" s="468"/>
      <c r="T35" s="468"/>
      <c r="U35" s="468"/>
      <c r="V35" s="468"/>
      <c r="W35" s="468"/>
      <c r="X35" s="468"/>
      <c r="Y35" s="468"/>
      <c r="Z35" s="468"/>
    </row>
    <row r="36" spans="1:26" ht="17.25">
      <c r="A36" s="468"/>
      <c r="B36" s="492" t="s">
        <v>508</v>
      </c>
      <c r="C36" s="475"/>
      <c r="D36" s="484"/>
      <c r="E36" s="474"/>
      <c r="F36" s="474"/>
      <c r="G36" s="474"/>
      <c r="H36" s="468"/>
      <c r="I36" s="468"/>
      <c r="J36" s="468"/>
      <c r="K36" s="468"/>
      <c r="L36" s="468"/>
      <c r="M36" s="468"/>
      <c r="N36" s="468"/>
      <c r="O36" s="468"/>
      <c r="P36" s="468"/>
      <c r="Q36" s="468"/>
      <c r="R36" s="468"/>
      <c r="S36" s="468"/>
      <c r="T36" s="468"/>
      <c r="U36" s="468"/>
      <c r="V36" s="468"/>
      <c r="W36" s="468"/>
      <c r="X36" s="468"/>
      <c r="Y36" s="468"/>
      <c r="Z36" s="468"/>
    </row>
    <row r="37" spans="1:26">
      <c r="A37" s="468"/>
      <c r="B37" s="464"/>
      <c r="C37" s="465"/>
      <c r="D37" s="466"/>
      <c r="E37" s="465"/>
      <c r="F37" s="465"/>
      <c r="G37" s="467"/>
      <c r="H37" s="468"/>
      <c r="I37" s="468"/>
      <c r="J37" s="468"/>
      <c r="K37" s="468"/>
      <c r="L37" s="468"/>
      <c r="M37" s="468"/>
      <c r="N37" s="468"/>
      <c r="O37" s="468"/>
      <c r="P37" s="468"/>
      <c r="Q37" s="468"/>
      <c r="R37" s="468"/>
      <c r="S37" s="468"/>
      <c r="T37" s="468"/>
      <c r="U37" s="468"/>
      <c r="V37" s="468"/>
      <c r="W37" s="468"/>
      <c r="X37" s="468"/>
      <c r="Y37" s="468"/>
      <c r="Z37" s="468"/>
    </row>
    <row r="38" spans="1:26">
      <c r="A38" s="468"/>
      <c r="B38" s="501" t="s">
        <v>509</v>
      </c>
      <c r="C38" s="509"/>
      <c r="D38" s="519"/>
      <c r="E38" s="502"/>
      <c r="F38" s="502"/>
      <c r="G38" s="520"/>
      <c r="H38" s="468"/>
      <c r="I38" s="468"/>
      <c r="J38" s="468"/>
      <c r="K38" s="468"/>
      <c r="L38" s="468"/>
      <c r="M38" s="468"/>
      <c r="N38" s="468"/>
      <c r="O38" s="468"/>
      <c r="P38" s="468"/>
      <c r="Q38" s="468"/>
      <c r="R38" s="468"/>
      <c r="S38" s="468"/>
      <c r="T38" s="468"/>
      <c r="U38" s="468"/>
      <c r="V38" s="468"/>
      <c r="W38" s="468"/>
      <c r="X38" s="468"/>
      <c r="Y38" s="468"/>
      <c r="Z38" s="468"/>
    </row>
    <row r="39" spans="1:26">
      <c r="A39" s="468"/>
      <c r="B39" s="498" t="s">
        <v>273</v>
      </c>
      <c r="C39" s="473" t="s">
        <v>274</v>
      </c>
      <c r="D39" s="521" t="s">
        <v>17</v>
      </c>
      <c r="E39" s="471" t="s">
        <v>275</v>
      </c>
      <c r="F39" s="471" t="s">
        <v>277</v>
      </c>
      <c r="G39" s="522" t="s">
        <v>78</v>
      </c>
      <c r="H39" s="468"/>
      <c r="I39" s="468"/>
      <c r="J39" s="468"/>
      <c r="K39" s="468"/>
      <c r="L39" s="468"/>
      <c r="M39" s="468"/>
      <c r="N39" s="468"/>
      <c r="O39" s="468"/>
      <c r="P39" s="468"/>
      <c r="Q39" s="468"/>
      <c r="R39" s="468"/>
      <c r="S39" s="468"/>
      <c r="T39" s="468"/>
      <c r="U39" s="468"/>
      <c r="V39" s="468"/>
      <c r="W39" s="468"/>
      <c r="X39" s="468"/>
      <c r="Y39" s="468"/>
      <c r="Z39" s="468"/>
    </row>
    <row r="40" spans="1:26" ht="102">
      <c r="A40" s="468"/>
      <c r="B40" s="501" t="s">
        <v>278</v>
      </c>
      <c r="C40" s="509" t="s">
        <v>510</v>
      </c>
      <c r="D40" s="519" t="s">
        <v>262</v>
      </c>
      <c r="E40" s="523" t="str">
        <f>'Management Review and Internal '!F32</f>
        <v>30/09/2026</v>
      </c>
      <c r="F40" s="502" t="str">
        <f>'Management Review and Internal '!G32</f>
        <v>In Progress</v>
      </c>
      <c r="G40" s="520" t="s">
        <v>511</v>
      </c>
      <c r="H40" s="468"/>
      <c r="I40" s="468"/>
      <c r="J40" s="468"/>
      <c r="K40" s="468"/>
      <c r="L40" s="468"/>
      <c r="M40" s="468"/>
      <c r="N40" s="468"/>
      <c r="O40" s="468"/>
      <c r="P40" s="468"/>
      <c r="Q40" s="468"/>
      <c r="R40" s="468"/>
      <c r="S40" s="468"/>
      <c r="T40" s="468"/>
      <c r="U40" s="468"/>
      <c r="V40" s="468"/>
      <c r="W40" s="468"/>
      <c r="X40" s="468"/>
      <c r="Y40" s="468"/>
      <c r="Z40" s="468"/>
    </row>
    <row r="41" spans="1:26" ht="76.5">
      <c r="A41" s="468"/>
      <c r="B41" s="498" t="s">
        <v>280</v>
      </c>
      <c r="C41" s="473" t="s">
        <v>281</v>
      </c>
      <c r="D41" s="521" t="s">
        <v>24</v>
      </c>
      <c r="E41" s="524" t="str">
        <f>'Management Review and Internal '!F33</f>
        <v>30/09/2026</v>
      </c>
      <c r="F41" s="471" t="str">
        <f>'Management Review and Internal '!G33</f>
        <v>In Progress</v>
      </c>
      <c r="G41" s="522" t="s">
        <v>512</v>
      </c>
      <c r="H41" s="468"/>
      <c r="I41" s="468"/>
      <c r="J41" s="468"/>
      <c r="K41" s="468"/>
      <c r="L41" s="468"/>
      <c r="M41" s="468"/>
      <c r="N41" s="468"/>
      <c r="O41" s="468"/>
      <c r="P41" s="468"/>
      <c r="Q41" s="468"/>
      <c r="R41" s="468"/>
      <c r="S41" s="468"/>
      <c r="T41" s="468"/>
      <c r="U41" s="468"/>
      <c r="V41" s="468"/>
      <c r="W41" s="468"/>
      <c r="X41" s="468"/>
      <c r="Y41" s="468"/>
      <c r="Z41" s="468"/>
    </row>
    <row r="42" spans="1:26" ht="51">
      <c r="A42" s="468"/>
      <c r="B42" s="501" t="s">
        <v>282</v>
      </c>
      <c r="C42" s="509" t="s">
        <v>283</v>
      </c>
      <c r="D42" s="519" t="s">
        <v>284</v>
      </c>
      <c r="E42" s="523" t="str">
        <f>'Management Review and Internal '!F31</f>
        <v>30/06/2026</v>
      </c>
      <c r="F42" s="502" t="str">
        <f>'Management Review and Internal '!G31</f>
        <v>In Progress</v>
      </c>
      <c r="G42" s="520" t="s">
        <v>513</v>
      </c>
      <c r="H42" s="468"/>
      <c r="I42" s="468"/>
      <c r="J42" s="468"/>
      <c r="K42" s="468"/>
      <c r="L42" s="468"/>
      <c r="M42" s="468"/>
      <c r="N42" s="468"/>
      <c r="O42" s="468"/>
      <c r="P42" s="468"/>
      <c r="Q42" s="468"/>
      <c r="R42" s="468"/>
      <c r="S42" s="468"/>
      <c r="T42" s="468"/>
      <c r="U42" s="468"/>
      <c r="V42" s="468"/>
      <c r="W42" s="468"/>
      <c r="X42" s="468"/>
      <c r="Y42" s="468"/>
      <c r="Z42" s="468"/>
    </row>
    <row r="43" spans="1:26" ht="51">
      <c r="A43" s="468"/>
      <c r="B43" s="498" t="s">
        <v>287</v>
      </c>
      <c r="C43" s="473" t="s">
        <v>288</v>
      </c>
      <c r="D43" s="471" t="s">
        <v>181</v>
      </c>
      <c r="E43" s="524" t="str">
        <f>'Management Review and Internal '!F36</f>
        <v>30/09/2026</v>
      </c>
      <c r="F43" s="471" t="str">
        <f>'Management Review and Internal '!G36</f>
        <v>In Progress</v>
      </c>
      <c r="G43" s="522" t="s">
        <v>514</v>
      </c>
      <c r="H43" s="468"/>
      <c r="I43" s="468"/>
      <c r="J43" s="468"/>
      <c r="K43" s="468"/>
      <c r="L43" s="468"/>
      <c r="M43" s="468"/>
      <c r="N43" s="468"/>
      <c r="O43" s="468"/>
      <c r="P43" s="468"/>
      <c r="Q43" s="468"/>
      <c r="R43" s="468"/>
      <c r="S43" s="468"/>
      <c r="T43" s="468"/>
      <c r="U43" s="468"/>
      <c r="V43" s="468"/>
      <c r="W43" s="468"/>
      <c r="X43" s="468"/>
      <c r="Y43" s="468"/>
      <c r="Z43" s="468"/>
    </row>
    <row r="44" spans="1:26" ht="51">
      <c r="A44" s="468"/>
      <c r="B44" s="501" t="s">
        <v>285</v>
      </c>
      <c r="C44" s="509" t="s">
        <v>286</v>
      </c>
      <c r="D44" s="502" t="s">
        <v>24</v>
      </c>
      <c r="E44" s="523" t="str">
        <f>'Management Review and Internal '!F34</f>
        <v>30/06/2026</v>
      </c>
      <c r="F44" s="502" t="str">
        <f>'Management Review and Internal '!G34</f>
        <v>In Progress</v>
      </c>
      <c r="G44" s="520" t="s">
        <v>515</v>
      </c>
      <c r="H44" s="468"/>
      <c r="I44" s="468"/>
      <c r="J44" s="468"/>
      <c r="K44" s="468"/>
      <c r="L44" s="468"/>
      <c r="M44" s="468"/>
      <c r="N44" s="468"/>
      <c r="O44" s="468"/>
      <c r="P44" s="468"/>
      <c r="Q44" s="468"/>
      <c r="R44" s="468"/>
      <c r="S44" s="468"/>
      <c r="T44" s="468"/>
      <c r="U44" s="468"/>
      <c r="V44" s="468"/>
      <c r="W44" s="468"/>
      <c r="X44" s="468"/>
      <c r="Y44" s="468"/>
      <c r="Z44" s="468"/>
    </row>
    <row r="45" spans="1:26" ht="51">
      <c r="A45" s="468"/>
      <c r="B45" s="498" t="s">
        <v>289</v>
      </c>
      <c r="C45" s="473" t="s">
        <v>290</v>
      </c>
      <c r="D45" s="471" t="s">
        <v>173</v>
      </c>
      <c r="E45" s="524" t="str">
        <f>'Management Review and Internal '!F35</f>
        <v>30/06/2026</v>
      </c>
      <c r="F45" s="471" t="str">
        <f>'Management Review and Internal '!G35</f>
        <v>In Progress</v>
      </c>
      <c r="G45" s="522" t="s">
        <v>516</v>
      </c>
      <c r="H45" s="468"/>
      <c r="I45" s="468"/>
      <c r="J45" s="468"/>
      <c r="K45" s="468"/>
      <c r="L45" s="468"/>
      <c r="M45" s="468"/>
      <c r="N45" s="468"/>
      <c r="O45" s="468"/>
      <c r="P45" s="468"/>
      <c r="Q45" s="468"/>
      <c r="R45" s="468"/>
      <c r="S45" s="468"/>
      <c r="T45" s="468"/>
      <c r="U45" s="468"/>
      <c r="V45" s="468"/>
      <c r="W45" s="468"/>
      <c r="X45" s="468"/>
      <c r="Y45" s="468"/>
      <c r="Z45" s="468"/>
    </row>
    <row r="46" spans="1:26" ht="63.75">
      <c r="A46" s="468"/>
      <c r="B46" s="501" t="s">
        <v>291</v>
      </c>
      <c r="C46" s="509" t="s">
        <v>292</v>
      </c>
      <c r="D46" s="502" t="s">
        <v>68</v>
      </c>
      <c r="E46" s="523" t="str">
        <f>'Management Review and Internal '!F23</f>
        <v>30/06/2026</v>
      </c>
      <c r="F46" s="502" t="str">
        <f>'Management Review and Internal '!G23</f>
        <v>Closed</v>
      </c>
      <c r="G46" s="520" t="s">
        <v>517</v>
      </c>
      <c r="H46" s="468"/>
      <c r="I46" s="468"/>
      <c r="J46" s="468"/>
      <c r="K46" s="468"/>
      <c r="L46" s="468"/>
      <c r="M46" s="468"/>
      <c r="N46" s="468"/>
      <c r="O46" s="468"/>
      <c r="P46" s="468"/>
      <c r="Q46" s="468"/>
      <c r="R46" s="468"/>
      <c r="S46" s="468"/>
      <c r="T46" s="468"/>
      <c r="U46" s="468"/>
      <c r="V46" s="468"/>
      <c r="W46" s="468"/>
      <c r="X46" s="468"/>
      <c r="Y46" s="468"/>
      <c r="Z46" s="468"/>
    </row>
    <row r="47" spans="1:26" ht="63.75">
      <c r="A47" s="468"/>
      <c r="B47" s="498" t="s">
        <v>293</v>
      </c>
      <c r="C47" s="473" t="s">
        <v>294</v>
      </c>
      <c r="D47" s="471" t="s">
        <v>150</v>
      </c>
      <c r="E47" s="524" t="str">
        <f>'Management Review and Internal '!F30</f>
        <v>30/06/2026</v>
      </c>
      <c r="F47" s="471" t="str">
        <f>'Management Review and Internal '!G30</f>
        <v>Closed</v>
      </c>
      <c r="G47" s="522" t="s">
        <v>518</v>
      </c>
      <c r="H47" s="468"/>
      <c r="I47" s="468"/>
      <c r="J47" s="468"/>
      <c r="K47" s="468"/>
      <c r="L47" s="468"/>
      <c r="M47" s="468"/>
      <c r="N47" s="468"/>
      <c r="O47" s="468"/>
      <c r="P47" s="468"/>
      <c r="Q47" s="468"/>
      <c r="R47" s="468"/>
      <c r="S47" s="468"/>
      <c r="T47" s="468"/>
      <c r="U47" s="468"/>
      <c r="V47" s="468"/>
      <c r="W47" s="468"/>
      <c r="X47" s="468"/>
      <c r="Y47" s="468"/>
      <c r="Z47" s="468"/>
    </row>
    <row r="48" spans="1:26" ht="51">
      <c r="A48" s="468"/>
      <c r="B48" s="528" t="s">
        <v>295</v>
      </c>
      <c r="C48" s="529" t="s">
        <v>296</v>
      </c>
      <c r="D48" s="502" t="s">
        <v>173</v>
      </c>
      <c r="E48" s="523" t="str">
        <f>'Management Review and Internal '!F26</f>
        <v>30/09/2026</v>
      </c>
      <c r="F48" s="502" t="str">
        <f>'Management Review and Internal '!G26</f>
        <v>In Progress</v>
      </c>
      <c r="G48" s="530" t="s">
        <v>519</v>
      </c>
      <c r="H48" s="468"/>
      <c r="I48" s="468"/>
      <c r="J48" s="468"/>
      <c r="K48" s="468"/>
      <c r="L48" s="468"/>
      <c r="M48" s="468"/>
      <c r="N48" s="468"/>
      <c r="O48" s="468"/>
      <c r="P48" s="468"/>
      <c r="Q48" s="468"/>
      <c r="R48" s="468"/>
      <c r="S48" s="468"/>
      <c r="T48" s="468"/>
      <c r="U48" s="468"/>
      <c r="V48" s="468"/>
      <c r="W48" s="468"/>
      <c r="X48" s="468"/>
      <c r="Y48" s="468"/>
      <c r="Z48" s="468"/>
    </row>
    <row r="49" spans="1:26" ht="63.75">
      <c r="A49" s="468"/>
      <c r="B49" s="525" t="s">
        <v>297</v>
      </c>
      <c r="C49" s="517" t="s">
        <v>298</v>
      </c>
      <c r="D49" s="517" t="s">
        <v>299</v>
      </c>
      <c r="E49" s="526" t="str">
        <f>'Management Review and Internal '!F27</f>
        <v>30/09/2026</v>
      </c>
      <c r="F49" s="517" t="str">
        <f>'Management Review and Internal '!G27</f>
        <v>In Progress</v>
      </c>
      <c r="G49" s="527" t="s">
        <v>520</v>
      </c>
      <c r="H49" s="468"/>
      <c r="I49" s="468"/>
      <c r="J49" s="468"/>
      <c r="K49" s="468"/>
      <c r="L49" s="468"/>
      <c r="M49" s="468"/>
      <c r="N49" s="468"/>
      <c r="O49" s="468"/>
      <c r="P49" s="468"/>
      <c r="Q49" s="468"/>
      <c r="R49" s="468"/>
      <c r="S49" s="468"/>
      <c r="T49" s="468"/>
      <c r="U49" s="468"/>
      <c r="V49" s="468"/>
      <c r="W49" s="468"/>
      <c r="X49" s="468"/>
      <c r="Y49" s="468"/>
      <c r="Z49" s="468"/>
    </row>
    <row r="50" spans="1:26">
      <c r="A50" s="468"/>
      <c r="B50" s="477"/>
      <c r="C50" s="475"/>
      <c r="D50" s="478"/>
      <c r="E50" s="477"/>
      <c r="F50" s="475"/>
      <c r="G50" s="475"/>
      <c r="H50" s="468"/>
      <c r="I50" s="468"/>
      <c r="J50" s="468"/>
      <c r="K50" s="468"/>
      <c r="L50" s="468"/>
      <c r="M50" s="468"/>
      <c r="N50" s="468"/>
      <c r="O50" s="468"/>
      <c r="P50" s="468"/>
      <c r="Q50" s="468"/>
      <c r="R50" s="468"/>
      <c r="S50" s="468"/>
      <c r="T50" s="468"/>
      <c r="U50" s="468"/>
      <c r="V50" s="468"/>
      <c r="W50" s="468"/>
      <c r="X50" s="468"/>
      <c r="Y50" s="468"/>
      <c r="Z50" s="468"/>
    </row>
    <row r="51" spans="1:26" ht="30">
      <c r="A51" s="468"/>
      <c r="B51" s="477" t="s">
        <v>521</v>
      </c>
      <c r="C51" s="475"/>
      <c r="D51" s="478"/>
      <c r="E51" s="477"/>
      <c r="F51" s="475"/>
      <c r="G51" s="475"/>
      <c r="H51" s="468"/>
      <c r="I51" s="468"/>
      <c r="J51" s="468"/>
      <c r="K51" s="468"/>
      <c r="L51" s="468"/>
      <c r="M51" s="468"/>
      <c r="N51" s="468"/>
      <c r="O51" s="468"/>
      <c r="P51" s="468"/>
      <c r="Q51" s="468"/>
      <c r="R51" s="468"/>
      <c r="S51" s="468"/>
      <c r="T51" s="468"/>
      <c r="U51" s="468"/>
      <c r="V51" s="468"/>
      <c r="W51" s="468"/>
      <c r="X51" s="468"/>
      <c r="Y51" s="468"/>
      <c r="Z51" s="468"/>
    </row>
    <row r="52" spans="1:26" ht="25.5">
      <c r="A52" s="468"/>
      <c r="B52" s="464" t="s">
        <v>522</v>
      </c>
      <c r="C52" s="465" t="s">
        <v>523</v>
      </c>
      <c r="D52" s="531" t="s">
        <v>524</v>
      </c>
      <c r="E52" s="465" t="s">
        <v>525</v>
      </c>
      <c r="F52" s="465" t="s">
        <v>526</v>
      </c>
      <c r="G52" s="467" t="s">
        <v>17</v>
      </c>
      <c r="H52" s="468"/>
      <c r="I52" s="468"/>
      <c r="J52" s="468"/>
      <c r="K52" s="468"/>
      <c r="L52" s="468"/>
      <c r="M52" s="468"/>
      <c r="N52" s="468"/>
      <c r="O52" s="468"/>
      <c r="P52" s="468"/>
      <c r="Q52" s="468"/>
      <c r="R52" s="468"/>
      <c r="S52" s="468"/>
      <c r="T52" s="468"/>
      <c r="U52" s="468"/>
      <c r="V52" s="468"/>
      <c r="W52" s="468"/>
      <c r="X52" s="468"/>
      <c r="Y52" s="468"/>
      <c r="Z52" s="468"/>
    </row>
    <row r="53" spans="1:26" ht="102">
      <c r="A53" s="468"/>
      <c r="B53" s="470" t="s">
        <v>527</v>
      </c>
      <c r="C53" s="471" t="s">
        <v>528</v>
      </c>
      <c r="D53" s="472">
        <f>'Financial Analysis'!E24</f>
        <v>240</v>
      </c>
      <c r="E53" s="473" t="s">
        <v>529</v>
      </c>
      <c r="F53" s="471" t="s">
        <v>530</v>
      </c>
      <c r="G53" s="512" t="s">
        <v>24</v>
      </c>
      <c r="H53" s="468"/>
      <c r="I53" s="468"/>
      <c r="J53" s="468"/>
      <c r="K53" s="468"/>
      <c r="L53" s="468"/>
      <c r="M53" s="468"/>
      <c r="N53" s="468"/>
      <c r="O53" s="468"/>
      <c r="P53" s="468"/>
      <c r="Q53" s="468"/>
      <c r="R53" s="468"/>
      <c r="S53" s="468"/>
      <c r="T53" s="468"/>
      <c r="U53" s="468"/>
      <c r="V53" s="468"/>
      <c r="W53" s="468"/>
      <c r="X53" s="468"/>
      <c r="Y53" s="468"/>
      <c r="Z53" s="468"/>
    </row>
    <row r="54" spans="1:26" ht="89.25">
      <c r="A54" s="468"/>
      <c r="B54" s="513" t="s">
        <v>531</v>
      </c>
      <c r="C54" s="502" t="s">
        <v>528</v>
      </c>
      <c r="D54" s="532">
        <f>'Financial Analysis'!E25</f>
        <v>180</v>
      </c>
      <c r="E54" s="509" t="s">
        <v>532</v>
      </c>
      <c r="F54" s="502" t="s">
        <v>533</v>
      </c>
      <c r="G54" s="515" t="s">
        <v>173</v>
      </c>
      <c r="H54" s="468"/>
      <c r="I54" s="468"/>
      <c r="J54" s="468"/>
      <c r="K54" s="468"/>
      <c r="L54" s="468"/>
      <c r="M54" s="468"/>
      <c r="N54" s="468"/>
      <c r="O54" s="468"/>
      <c r="P54" s="468"/>
      <c r="Q54" s="468"/>
      <c r="R54" s="468"/>
      <c r="S54" s="468"/>
      <c r="T54" s="468"/>
      <c r="U54" s="468"/>
      <c r="V54" s="468"/>
      <c r="W54" s="468"/>
      <c r="X54" s="468"/>
      <c r="Y54" s="468"/>
      <c r="Z54" s="468"/>
    </row>
    <row r="55" spans="1:26" ht="76.5">
      <c r="A55" s="468"/>
      <c r="B55" s="470" t="s">
        <v>534</v>
      </c>
      <c r="C55" s="471" t="s">
        <v>528</v>
      </c>
      <c r="D55" s="472">
        <f>'Financial Analysis'!E26</f>
        <v>160</v>
      </c>
      <c r="E55" s="473" t="s">
        <v>535</v>
      </c>
      <c r="F55" s="471" t="s">
        <v>536</v>
      </c>
      <c r="G55" s="512" t="s">
        <v>173</v>
      </c>
      <c r="H55" s="468"/>
      <c r="I55" s="468"/>
      <c r="J55" s="468"/>
      <c r="K55" s="468"/>
      <c r="L55" s="468"/>
      <c r="M55" s="468"/>
      <c r="N55" s="468"/>
      <c r="O55" s="468"/>
      <c r="P55" s="468"/>
      <c r="Q55" s="468"/>
      <c r="R55" s="468"/>
      <c r="S55" s="468"/>
      <c r="T55" s="468"/>
      <c r="U55" s="468"/>
      <c r="V55" s="468"/>
      <c r="W55" s="468"/>
      <c r="X55" s="468"/>
      <c r="Y55" s="468"/>
      <c r="Z55" s="468"/>
    </row>
    <row r="56" spans="1:26" ht="51">
      <c r="A56" s="468"/>
      <c r="B56" s="513" t="s">
        <v>537</v>
      </c>
      <c r="C56" s="502" t="s">
        <v>528</v>
      </c>
      <c r="D56" s="532">
        <f>'Financial Analysis'!E27</f>
        <v>120</v>
      </c>
      <c r="E56" s="509" t="s">
        <v>538</v>
      </c>
      <c r="F56" s="502" t="s">
        <v>533</v>
      </c>
      <c r="G56" s="515" t="s">
        <v>173</v>
      </c>
      <c r="H56" s="468"/>
      <c r="I56" s="468"/>
      <c r="J56" s="468"/>
      <c r="K56" s="468"/>
      <c r="L56" s="468"/>
      <c r="M56" s="468"/>
      <c r="N56" s="468"/>
      <c r="O56" s="468"/>
      <c r="P56" s="468"/>
      <c r="Q56" s="468"/>
      <c r="R56" s="468"/>
      <c r="S56" s="468"/>
      <c r="T56" s="468"/>
      <c r="U56" s="468"/>
      <c r="V56" s="468"/>
      <c r="W56" s="468"/>
      <c r="X56" s="468"/>
      <c r="Y56" s="468"/>
      <c r="Z56" s="468"/>
    </row>
    <row r="57" spans="1:26" ht="63.75">
      <c r="A57" s="468"/>
      <c r="B57" s="470" t="s">
        <v>539</v>
      </c>
      <c r="C57" s="471" t="s">
        <v>528</v>
      </c>
      <c r="D57" s="472">
        <f>'Financial Analysis'!E28</f>
        <v>140</v>
      </c>
      <c r="E57" s="473" t="s">
        <v>540</v>
      </c>
      <c r="F57" s="471" t="s">
        <v>530</v>
      </c>
      <c r="G57" s="512" t="s">
        <v>68</v>
      </c>
      <c r="H57" s="468"/>
      <c r="I57" s="468"/>
      <c r="J57" s="468"/>
      <c r="K57" s="468"/>
      <c r="L57" s="468"/>
      <c r="M57" s="468"/>
      <c r="N57" s="468"/>
      <c r="O57" s="468"/>
      <c r="P57" s="468"/>
      <c r="Q57" s="468"/>
      <c r="R57" s="468"/>
      <c r="S57" s="468"/>
      <c r="T57" s="468"/>
      <c r="U57" s="468"/>
      <c r="V57" s="468"/>
      <c r="W57" s="468"/>
      <c r="X57" s="468"/>
      <c r="Y57" s="468"/>
      <c r="Z57" s="468"/>
    </row>
    <row r="58" spans="1:26" ht="63.75">
      <c r="A58" s="468"/>
      <c r="B58" s="513" t="s">
        <v>541</v>
      </c>
      <c r="C58" s="502" t="s">
        <v>528</v>
      </c>
      <c r="D58" s="532">
        <f>'Financial Analysis'!E29</f>
        <v>100</v>
      </c>
      <c r="E58" s="509" t="s">
        <v>542</v>
      </c>
      <c r="F58" s="502" t="s">
        <v>543</v>
      </c>
      <c r="G58" s="515" t="s">
        <v>150</v>
      </c>
      <c r="H58" s="468"/>
      <c r="I58" s="468"/>
      <c r="J58" s="468"/>
      <c r="K58" s="468"/>
      <c r="L58" s="468"/>
      <c r="M58" s="468"/>
      <c r="N58" s="468"/>
      <c r="O58" s="468"/>
      <c r="P58" s="468"/>
      <c r="Q58" s="468"/>
      <c r="R58" s="468"/>
      <c r="S58" s="468"/>
      <c r="T58" s="468"/>
      <c r="U58" s="468"/>
      <c r="V58" s="468"/>
      <c r="W58" s="468"/>
      <c r="X58" s="468"/>
      <c r="Y58" s="468"/>
      <c r="Z58" s="468"/>
    </row>
    <row r="59" spans="1:26" ht="63.75">
      <c r="A59" s="468"/>
      <c r="B59" s="533" t="s">
        <v>544</v>
      </c>
      <c r="C59" s="471" t="s">
        <v>528</v>
      </c>
      <c r="D59" s="472">
        <f>'Financial Analysis'!E30</f>
        <v>80</v>
      </c>
      <c r="E59" s="511" t="s">
        <v>545</v>
      </c>
      <c r="F59" s="471" t="s">
        <v>546</v>
      </c>
      <c r="G59" s="512" t="s">
        <v>24</v>
      </c>
      <c r="H59" s="468"/>
      <c r="I59" s="468"/>
      <c r="J59" s="468"/>
      <c r="K59" s="468"/>
      <c r="L59" s="468"/>
      <c r="M59" s="468"/>
      <c r="N59" s="468"/>
      <c r="O59" s="468"/>
      <c r="P59" s="468"/>
      <c r="Q59" s="468"/>
      <c r="R59" s="468"/>
      <c r="S59" s="468"/>
      <c r="T59" s="468"/>
      <c r="U59" s="468"/>
      <c r="V59" s="468"/>
      <c r="W59" s="468"/>
      <c r="X59" s="468"/>
      <c r="Y59" s="468"/>
      <c r="Z59" s="468"/>
    </row>
    <row r="60" spans="1:26" ht="63.75">
      <c r="A60" s="468"/>
      <c r="B60" s="534" t="s">
        <v>547</v>
      </c>
      <c r="C60" s="502" t="s">
        <v>528</v>
      </c>
      <c r="D60" s="532">
        <f>'Financial Analysis'!E31</f>
        <v>60</v>
      </c>
      <c r="E60" s="514" t="s">
        <v>548</v>
      </c>
      <c r="F60" s="502" t="s">
        <v>549</v>
      </c>
      <c r="G60" s="515" t="s">
        <v>181</v>
      </c>
      <c r="H60" s="468"/>
      <c r="I60" s="468"/>
      <c r="J60" s="468"/>
      <c r="K60" s="468"/>
      <c r="L60" s="468"/>
      <c r="M60" s="468"/>
      <c r="N60" s="468"/>
      <c r="O60" s="468"/>
      <c r="P60" s="468"/>
      <c r="Q60" s="468"/>
      <c r="R60" s="468"/>
      <c r="S60" s="468"/>
      <c r="T60" s="468"/>
      <c r="U60" s="468"/>
      <c r="V60" s="468"/>
      <c r="W60" s="468"/>
      <c r="X60" s="468"/>
      <c r="Y60" s="468"/>
      <c r="Z60" s="468"/>
    </row>
    <row r="61" spans="1:26" ht="38.25">
      <c r="A61" s="468"/>
      <c r="B61" s="535" t="s">
        <v>550</v>
      </c>
      <c r="C61" s="536" t="s">
        <v>551</v>
      </c>
      <c r="D61" s="537">
        <f>'Financial Analysis'!E32</f>
        <v>1080</v>
      </c>
      <c r="E61" s="536" t="s">
        <v>552</v>
      </c>
      <c r="F61" s="536" t="s">
        <v>553</v>
      </c>
      <c r="G61" s="538" t="s">
        <v>31</v>
      </c>
      <c r="H61" s="468"/>
      <c r="I61" s="468"/>
      <c r="J61" s="468"/>
      <c r="K61" s="468"/>
      <c r="L61" s="468"/>
      <c r="M61" s="468"/>
      <c r="N61" s="468"/>
      <c r="O61" s="468"/>
      <c r="P61" s="468"/>
      <c r="Q61" s="468"/>
      <c r="R61" s="468"/>
      <c r="S61" s="468"/>
      <c r="T61" s="468"/>
      <c r="U61" s="468"/>
      <c r="V61" s="468"/>
      <c r="W61" s="468"/>
      <c r="X61" s="468"/>
      <c r="Y61" s="468"/>
      <c r="Z61" s="468"/>
    </row>
    <row r="62" spans="1:26">
      <c r="A62" s="468"/>
      <c r="B62" s="479"/>
      <c r="C62" s="480"/>
      <c r="D62" s="479"/>
      <c r="E62" s="481"/>
      <c r="F62" s="482"/>
      <c r="G62" s="483"/>
      <c r="H62" s="468"/>
      <c r="I62" s="468"/>
      <c r="J62" s="468"/>
      <c r="K62" s="468"/>
      <c r="L62" s="468"/>
      <c r="M62" s="468"/>
      <c r="N62" s="468"/>
      <c r="O62" s="468"/>
      <c r="P62" s="468"/>
      <c r="Q62" s="468"/>
      <c r="R62" s="468"/>
      <c r="S62" s="468"/>
      <c r="T62" s="468"/>
      <c r="U62" s="468"/>
      <c r="V62" s="468"/>
      <c r="W62" s="468"/>
      <c r="X62" s="468"/>
      <c r="Y62" s="468"/>
      <c r="Z62" s="468"/>
    </row>
    <row r="63" spans="1:26" ht="30">
      <c r="A63" s="468"/>
      <c r="B63" s="477" t="s">
        <v>554</v>
      </c>
      <c r="C63" s="480"/>
      <c r="D63" s="479"/>
      <c r="E63" s="481"/>
      <c r="F63" s="482"/>
      <c r="G63" s="483"/>
      <c r="H63" s="468"/>
      <c r="I63" s="468"/>
      <c r="J63" s="468"/>
      <c r="K63" s="468"/>
      <c r="L63" s="468"/>
      <c r="M63" s="468"/>
      <c r="N63" s="468"/>
      <c r="O63" s="468"/>
      <c r="P63" s="468"/>
      <c r="Q63" s="468"/>
      <c r="R63" s="468"/>
      <c r="S63" s="468"/>
      <c r="T63" s="468"/>
      <c r="U63" s="468"/>
      <c r="V63" s="468"/>
      <c r="W63" s="468"/>
      <c r="X63" s="468"/>
      <c r="Y63" s="468"/>
      <c r="Z63" s="468"/>
    </row>
    <row r="64" spans="1:26" ht="25.5">
      <c r="A64" s="468"/>
      <c r="B64" s="464" t="s">
        <v>117</v>
      </c>
      <c r="C64" s="465" t="s">
        <v>119</v>
      </c>
      <c r="D64" s="465" t="s">
        <v>118</v>
      </c>
      <c r="E64" s="539" t="s">
        <v>555</v>
      </c>
      <c r="F64" s="465" t="s">
        <v>17</v>
      </c>
      <c r="G64" s="388"/>
      <c r="H64" s="468"/>
      <c r="I64" s="468"/>
      <c r="J64" s="468"/>
      <c r="K64" s="468"/>
      <c r="L64" s="468"/>
      <c r="M64" s="468"/>
      <c r="N64" s="468"/>
      <c r="O64" s="468"/>
      <c r="P64" s="468"/>
      <c r="Q64" s="468"/>
      <c r="R64" s="468"/>
      <c r="S64" s="468"/>
      <c r="T64" s="468"/>
      <c r="U64" s="468"/>
      <c r="V64" s="468"/>
      <c r="W64" s="468"/>
      <c r="X64" s="468"/>
      <c r="Y64" s="468"/>
      <c r="Z64" s="468"/>
    </row>
    <row r="65" spans="1:26" ht="51">
      <c r="A65" s="468"/>
      <c r="B65" s="470" t="s">
        <v>407</v>
      </c>
      <c r="C65" s="511" t="s">
        <v>145</v>
      </c>
      <c r="D65" s="473" t="s">
        <v>144</v>
      </c>
      <c r="E65" s="524">
        <v>46418</v>
      </c>
      <c r="F65" s="471" t="s">
        <v>24</v>
      </c>
      <c r="G65" s="540"/>
      <c r="H65" s="468"/>
      <c r="I65" s="468"/>
      <c r="J65" s="468"/>
      <c r="K65" s="468"/>
      <c r="L65" s="468"/>
      <c r="M65" s="468"/>
      <c r="N65" s="468"/>
      <c r="O65" s="468"/>
      <c r="P65" s="468"/>
      <c r="Q65" s="468"/>
      <c r="R65" s="468"/>
      <c r="S65" s="468"/>
      <c r="T65" s="468"/>
      <c r="U65" s="468"/>
      <c r="V65" s="468"/>
      <c r="W65" s="468"/>
      <c r="X65" s="468"/>
      <c r="Y65" s="468"/>
      <c r="Z65" s="468"/>
    </row>
    <row r="66" spans="1:26" ht="63.75">
      <c r="A66" s="468"/>
      <c r="B66" s="513" t="s">
        <v>556</v>
      </c>
      <c r="C66" s="514" t="s">
        <v>125</v>
      </c>
      <c r="D66" s="509" t="s">
        <v>557</v>
      </c>
      <c r="E66" s="523">
        <v>46203</v>
      </c>
      <c r="F66" s="502" t="s">
        <v>24</v>
      </c>
      <c r="G66" s="541"/>
      <c r="H66" s="468"/>
      <c r="I66" s="468"/>
      <c r="J66" s="468"/>
      <c r="K66" s="468"/>
      <c r="L66" s="468"/>
      <c r="M66" s="468"/>
      <c r="N66" s="468"/>
      <c r="O66" s="468"/>
      <c r="P66" s="468"/>
      <c r="Q66" s="468"/>
      <c r="R66" s="468"/>
      <c r="S66" s="468"/>
      <c r="T66" s="468"/>
      <c r="U66" s="468"/>
      <c r="V66" s="468"/>
      <c r="W66" s="468"/>
      <c r="X66" s="468"/>
      <c r="Y66" s="468"/>
      <c r="Z66" s="468"/>
    </row>
    <row r="67" spans="1:26" ht="89.25">
      <c r="A67" s="468"/>
      <c r="B67" s="470" t="s">
        <v>148</v>
      </c>
      <c r="C67" s="511" t="s">
        <v>125</v>
      </c>
      <c r="D67" s="473" t="s">
        <v>149</v>
      </c>
      <c r="E67" s="524">
        <v>46203</v>
      </c>
      <c r="F67" s="471" t="s">
        <v>150</v>
      </c>
      <c r="G67" s="540"/>
      <c r="H67" s="468"/>
      <c r="I67" s="468"/>
      <c r="J67" s="468"/>
      <c r="K67" s="468"/>
      <c r="L67" s="468"/>
      <c r="M67" s="468"/>
      <c r="N67" s="468"/>
      <c r="O67" s="468"/>
      <c r="P67" s="468"/>
      <c r="Q67" s="468"/>
      <c r="R67" s="468"/>
      <c r="S67" s="468"/>
      <c r="T67" s="468"/>
      <c r="U67" s="468"/>
      <c r="V67" s="468"/>
      <c r="W67" s="468"/>
      <c r="X67" s="468"/>
      <c r="Y67" s="468"/>
      <c r="Z67" s="468"/>
    </row>
    <row r="68" spans="1:26" ht="89.25">
      <c r="A68" s="468"/>
      <c r="B68" s="534" t="s">
        <v>402</v>
      </c>
      <c r="C68" s="514" t="s">
        <v>131</v>
      </c>
      <c r="D68" s="529" t="s">
        <v>558</v>
      </c>
      <c r="E68" s="523">
        <v>46295</v>
      </c>
      <c r="F68" s="502" t="s">
        <v>24</v>
      </c>
      <c r="G68" s="541"/>
      <c r="H68" s="468"/>
      <c r="I68" s="468"/>
      <c r="J68" s="468"/>
      <c r="K68" s="468"/>
      <c r="L68" s="468"/>
      <c r="M68" s="468"/>
      <c r="N68" s="468"/>
      <c r="O68" s="468"/>
      <c r="P68" s="468"/>
      <c r="Q68" s="468"/>
      <c r="R68" s="468"/>
      <c r="S68" s="468"/>
      <c r="T68" s="468"/>
      <c r="U68" s="468"/>
      <c r="V68" s="468"/>
      <c r="W68" s="468"/>
      <c r="X68" s="468"/>
      <c r="Y68" s="468"/>
      <c r="Z68" s="468"/>
    </row>
    <row r="69" spans="1:26" ht="51">
      <c r="A69" s="468"/>
      <c r="B69" s="533" t="s">
        <v>134</v>
      </c>
      <c r="C69" s="511" t="s">
        <v>136</v>
      </c>
      <c r="D69" s="546" t="s">
        <v>559</v>
      </c>
      <c r="E69" s="524">
        <v>46203</v>
      </c>
      <c r="F69" s="471" t="s">
        <v>24</v>
      </c>
      <c r="G69" s="540"/>
      <c r="H69" s="468"/>
      <c r="I69" s="468"/>
      <c r="J69" s="468"/>
      <c r="K69" s="468"/>
      <c r="L69" s="468"/>
      <c r="M69" s="468"/>
      <c r="N69" s="468"/>
      <c r="O69" s="468"/>
      <c r="P69" s="468"/>
      <c r="Q69" s="468"/>
      <c r="R69" s="468"/>
      <c r="S69" s="468"/>
      <c r="T69" s="468"/>
      <c r="U69" s="468"/>
      <c r="V69" s="468"/>
      <c r="W69" s="468"/>
      <c r="X69" s="468"/>
      <c r="Y69" s="468"/>
      <c r="Z69" s="468"/>
    </row>
    <row r="70" spans="1:26">
      <c r="A70" s="468"/>
      <c r="B70" s="542" t="s">
        <v>560</v>
      </c>
      <c r="C70" s="545"/>
      <c r="D70" s="543"/>
      <c r="E70" s="547"/>
      <c r="F70" s="545"/>
      <c r="G70" s="544"/>
      <c r="H70" s="468"/>
      <c r="I70" s="468"/>
      <c r="J70" s="468"/>
      <c r="K70" s="468"/>
      <c r="L70" s="468"/>
      <c r="M70" s="468"/>
      <c r="N70" s="468"/>
      <c r="O70" s="468"/>
      <c r="P70" s="468"/>
      <c r="Q70" s="468"/>
      <c r="R70" s="468"/>
      <c r="S70" s="468"/>
      <c r="T70" s="468"/>
      <c r="U70" s="468"/>
      <c r="V70" s="468"/>
      <c r="W70" s="468"/>
      <c r="X70" s="468"/>
      <c r="Y70" s="468"/>
      <c r="Z70" s="468"/>
    </row>
    <row r="71" spans="1:26">
      <c r="A71" s="468"/>
      <c r="B71" s="468"/>
      <c r="C71" s="468"/>
      <c r="D71" s="468"/>
      <c r="E71" s="468"/>
      <c r="F71" s="468"/>
      <c r="G71" s="468"/>
      <c r="H71" s="468"/>
      <c r="I71" s="468"/>
      <c r="J71" s="468"/>
      <c r="K71" s="468"/>
      <c r="L71" s="468"/>
      <c r="M71" s="468"/>
      <c r="N71" s="468"/>
      <c r="O71" s="468"/>
      <c r="P71" s="468"/>
      <c r="Q71" s="468"/>
      <c r="R71" s="468"/>
      <c r="S71" s="468"/>
      <c r="T71" s="468"/>
      <c r="U71" s="468"/>
      <c r="V71" s="468"/>
      <c r="W71" s="468"/>
      <c r="X71" s="468"/>
      <c r="Y71" s="468"/>
      <c r="Z71" s="468"/>
    </row>
    <row r="72" spans="1:26">
      <c r="A72" s="468"/>
      <c r="B72" s="475" t="s">
        <v>561</v>
      </c>
      <c r="C72" s="468"/>
      <c r="D72" s="468"/>
      <c r="E72" s="468"/>
      <c r="F72" s="468"/>
      <c r="G72" s="468"/>
      <c r="H72" s="468"/>
      <c r="I72" s="468"/>
      <c r="J72" s="468"/>
      <c r="K72" s="468"/>
      <c r="L72" s="468"/>
      <c r="M72" s="468"/>
      <c r="N72" s="468"/>
      <c r="O72" s="468"/>
      <c r="P72" s="468"/>
      <c r="Q72" s="468"/>
      <c r="R72" s="468"/>
      <c r="S72" s="468"/>
      <c r="T72" s="468"/>
      <c r="U72" s="468"/>
      <c r="V72" s="468"/>
      <c r="W72" s="468"/>
      <c r="X72" s="468"/>
      <c r="Y72" s="468"/>
      <c r="Z72" s="468"/>
    </row>
    <row r="73" spans="1:26" ht="17.25">
      <c r="A73" s="468"/>
      <c r="B73" s="549" t="s">
        <v>562</v>
      </c>
      <c r="C73" s="548"/>
      <c r="D73" s="548"/>
      <c r="E73" s="548"/>
      <c r="F73" s="548"/>
      <c r="G73" s="548"/>
      <c r="H73" s="468"/>
      <c r="I73" s="468"/>
      <c r="J73" s="468"/>
      <c r="K73" s="468"/>
      <c r="L73" s="468"/>
      <c r="M73" s="468"/>
      <c r="N73" s="468"/>
      <c r="O73" s="468"/>
      <c r="P73" s="468"/>
      <c r="Q73" s="468"/>
      <c r="R73" s="468"/>
      <c r="S73" s="468"/>
      <c r="T73" s="468"/>
      <c r="U73" s="468"/>
      <c r="V73" s="468"/>
      <c r="W73" s="468"/>
      <c r="X73" s="468"/>
      <c r="Y73" s="468"/>
      <c r="Z73" s="468"/>
    </row>
    <row r="74" spans="1:26">
      <c r="A74" s="468"/>
      <c r="B74" s="482"/>
      <c r="C74" s="482"/>
      <c r="D74" s="482"/>
      <c r="E74" s="482"/>
      <c r="F74" s="482"/>
      <c r="G74" s="482"/>
      <c r="H74" s="468"/>
      <c r="I74" s="468"/>
      <c r="J74" s="468"/>
      <c r="K74" s="468"/>
      <c r="L74" s="468"/>
      <c r="M74" s="468"/>
      <c r="N74" s="468"/>
      <c r="O74" s="468"/>
      <c r="P74" s="468"/>
      <c r="Q74" s="468"/>
      <c r="R74" s="468"/>
      <c r="S74" s="468"/>
      <c r="T74" s="468"/>
      <c r="U74" s="468"/>
      <c r="V74" s="468"/>
      <c r="W74" s="468"/>
      <c r="X74" s="468"/>
      <c r="Y74" s="468"/>
      <c r="Z74" s="468"/>
    </row>
    <row r="75" spans="1:26">
      <c r="A75" s="468"/>
      <c r="B75" s="485" t="s">
        <v>563</v>
      </c>
      <c r="C75" s="482"/>
      <c r="D75" s="482"/>
      <c r="E75" s="481"/>
      <c r="F75" s="479"/>
      <c r="G75" s="483"/>
      <c r="H75" s="468"/>
      <c r="I75" s="468"/>
      <c r="J75" s="468"/>
      <c r="K75" s="468"/>
      <c r="L75" s="468"/>
      <c r="M75" s="468"/>
      <c r="N75" s="468"/>
      <c r="O75" s="468"/>
      <c r="P75" s="468"/>
      <c r="Q75" s="468"/>
      <c r="R75" s="468"/>
      <c r="S75" s="468"/>
      <c r="T75" s="468"/>
      <c r="U75" s="468"/>
      <c r="V75" s="468"/>
      <c r="W75" s="468"/>
      <c r="X75" s="468"/>
      <c r="Y75" s="468"/>
      <c r="Z75" s="468"/>
    </row>
    <row r="76" spans="1:26" ht="25.5">
      <c r="A76" s="468"/>
      <c r="B76" s="464" t="s">
        <v>564</v>
      </c>
      <c r="C76" s="465" t="s">
        <v>565</v>
      </c>
      <c r="D76" s="465" t="s">
        <v>274</v>
      </c>
      <c r="E76" s="539" t="s">
        <v>566</v>
      </c>
      <c r="F76" s="465" t="s">
        <v>567</v>
      </c>
      <c r="G76" s="388"/>
      <c r="H76" s="468"/>
      <c r="I76" s="468"/>
      <c r="J76" s="468"/>
      <c r="K76" s="468"/>
      <c r="L76" s="468"/>
      <c r="M76" s="468"/>
      <c r="N76" s="468"/>
      <c r="O76" s="468"/>
      <c r="P76" s="468"/>
      <c r="Q76" s="468"/>
      <c r="R76" s="468"/>
      <c r="S76" s="468"/>
      <c r="T76" s="468"/>
      <c r="U76" s="468"/>
      <c r="V76" s="468"/>
      <c r="W76" s="468"/>
      <c r="X76" s="468"/>
      <c r="Y76" s="468"/>
      <c r="Z76" s="468"/>
    </row>
    <row r="77" spans="1:26" ht="89.25">
      <c r="A77" s="468"/>
      <c r="B77" s="551" t="s">
        <v>31</v>
      </c>
      <c r="C77" s="471" t="s">
        <v>24</v>
      </c>
      <c r="D77" s="471" t="s">
        <v>568</v>
      </c>
      <c r="E77" s="524">
        <v>46144</v>
      </c>
      <c r="F77" s="473" t="s">
        <v>569</v>
      </c>
      <c r="G77" s="540"/>
      <c r="H77" s="468"/>
      <c r="I77" s="468"/>
      <c r="J77" s="468"/>
      <c r="K77" s="468"/>
      <c r="L77" s="468"/>
      <c r="M77" s="468"/>
      <c r="N77" s="468"/>
      <c r="O77" s="468"/>
      <c r="P77" s="468"/>
      <c r="Q77" s="468"/>
      <c r="R77" s="468"/>
      <c r="S77" s="468"/>
      <c r="T77" s="468"/>
      <c r="U77" s="468"/>
      <c r="V77" s="468"/>
      <c r="W77" s="468"/>
      <c r="X77" s="468"/>
      <c r="Y77" s="468"/>
      <c r="Z77" s="468"/>
    </row>
    <row r="78" spans="1:26">
      <c r="A78" s="468"/>
      <c r="B78" s="552" t="s">
        <v>570</v>
      </c>
      <c r="C78" s="553" t="s">
        <v>173</v>
      </c>
      <c r="D78" s="553" t="s">
        <v>571</v>
      </c>
      <c r="E78" s="554">
        <v>46147</v>
      </c>
      <c r="F78" s="555" t="s">
        <v>572</v>
      </c>
      <c r="G78" s="556"/>
      <c r="H78" s="468"/>
      <c r="I78" s="468"/>
      <c r="J78" s="468"/>
      <c r="K78" s="468"/>
      <c r="L78" s="468"/>
      <c r="M78" s="468"/>
      <c r="N78" s="468"/>
      <c r="O78" s="468"/>
      <c r="P78" s="468"/>
      <c r="Q78" s="468"/>
      <c r="R78" s="468"/>
      <c r="S78" s="468"/>
      <c r="T78" s="468"/>
      <c r="U78" s="468"/>
      <c r="V78" s="468"/>
      <c r="W78" s="468"/>
      <c r="X78" s="468"/>
      <c r="Y78" s="468"/>
      <c r="Z78" s="468"/>
    </row>
    <row r="79" spans="1:26">
      <c r="A79" s="468"/>
      <c r="B79" s="557" t="s">
        <v>573</v>
      </c>
      <c r="C79" s="506" t="s">
        <v>37</v>
      </c>
      <c r="D79" s="506" t="s">
        <v>571</v>
      </c>
      <c r="E79" s="558">
        <v>46150</v>
      </c>
      <c r="F79" s="559" t="s">
        <v>572</v>
      </c>
      <c r="G79" s="560"/>
      <c r="H79" s="468"/>
      <c r="I79" s="468"/>
      <c r="J79" s="468"/>
      <c r="K79" s="468"/>
      <c r="L79" s="468"/>
      <c r="M79" s="468"/>
      <c r="N79" s="468"/>
      <c r="O79" s="468"/>
      <c r="P79" s="468"/>
      <c r="Q79" s="468"/>
      <c r="R79" s="468"/>
      <c r="S79" s="468"/>
      <c r="T79" s="468"/>
      <c r="U79" s="468"/>
      <c r="V79" s="468"/>
      <c r="W79" s="468"/>
      <c r="X79" s="468"/>
      <c r="Y79" s="468"/>
      <c r="Z79" s="468"/>
    </row>
    <row r="80" spans="1:26" ht="38.25">
      <c r="A80" s="482"/>
      <c r="B80" s="563" t="s">
        <v>574</v>
      </c>
      <c r="C80" s="550" t="s">
        <v>284</v>
      </c>
      <c r="D80" s="550" t="s">
        <v>346</v>
      </c>
      <c r="E80" s="561">
        <v>46154</v>
      </c>
      <c r="F80" s="562" t="s">
        <v>575</v>
      </c>
      <c r="G80" s="564"/>
      <c r="H80" s="468"/>
      <c r="I80" s="468"/>
      <c r="J80" s="468"/>
      <c r="K80" s="468"/>
      <c r="L80" s="468"/>
      <c r="M80" s="468"/>
      <c r="N80" s="468"/>
      <c r="O80" s="468"/>
      <c r="P80" s="468"/>
      <c r="Q80" s="468"/>
      <c r="R80" s="468"/>
      <c r="S80" s="468"/>
      <c r="T80" s="468"/>
      <c r="U80" s="468"/>
      <c r="V80" s="468"/>
      <c r="W80" s="468"/>
      <c r="X80" s="468"/>
      <c r="Y80" s="468"/>
      <c r="Z80" s="468"/>
    </row>
    <row r="81" spans="1:26">
      <c r="A81" s="565" t="s">
        <v>3937</v>
      </c>
      <c r="B81" s="565"/>
      <c r="C81" s="565"/>
      <c r="D81" s="565"/>
      <c r="E81" s="565"/>
      <c r="F81" s="565"/>
      <c r="G81" s="565"/>
      <c r="H81" s="468"/>
      <c r="I81" s="468"/>
      <c r="J81" s="468"/>
      <c r="K81" s="468"/>
      <c r="L81" s="468"/>
      <c r="M81" s="468"/>
      <c r="N81" s="468"/>
      <c r="O81" s="468"/>
      <c r="P81" s="468"/>
      <c r="Q81" s="468"/>
      <c r="R81" s="468"/>
      <c r="S81" s="468"/>
      <c r="T81" s="468"/>
      <c r="U81" s="468"/>
      <c r="V81" s="468"/>
      <c r="W81" s="468"/>
      <c r="X81" s="468"/>
      <c r="Y81" s="468"/>
      <c r="Z81" s="468"/>
    </row>
    <row r="82" spans="1:26" ht="15" customHeight="1">
      <c r="A82" s="468"/>
      <c r="B82" s="468"/>
      <c r="C82" s="468"/>
      <c r="D82" s="468"/>
      <c r="E82" s="468"/>
      <c r="F82" s="468"/>
      <c r="G82" s="468"/>
      <c r="H82" s="468"/>
      <c r="I82" s="468"/>
      <c r="J82" s="468"/>
      <c r="K82" s="468"/>
      <c r="L82" s="468"/>
      <c r="M82" s="468"/>
      <c r="N82" s="468"/>
      <c r="O82" s="468"/>
      <c r="P82" s="468"/>
      <c r="Q82" s="468"/>
      <c r="R82" s="468"/>
      <c r="S82" s="468"/>
      <c r="T82" s="468"/>
      <c r="U82" s="468"/>
      <c r="V82" s="468"/>
      <c r="W82" s="468"/>
      <c r="X82" s="468"/>
      <c r="Y82" s="468"/>
      <c r="Z82" s="468"/>
    </row>
    <row r="83" spans="1:26" ht="15" customHeight="1">
      <c r="A83" s="468"/>
      <c r="B83" s="468"/>
      <c r="C83" s="468"/>
      <c r="D83" s="468"/>
      <c r="E83" s="468"/>
      <c r="F83" s="468"/>
      <c r="G83" s="468"/>
      <c r="H83" s="468"/>
      <c r="I83" s="468"/>
      <c r="J83" s="468"/>
      <c r="K83" s="468"/>
      <c r="L83" s="468"/>
      <c r="M83" s="468"/>
      <c r="N83" s="468"/>
      <c r="O83" s="468"/>
      <c r="P83" s="468"/>
      <c r="Q83" s="468"/>
      <c r="R83" s="468"/>
      <c r="S83" s="468"/>
      <c r="T83" s="468"/>
      <c r="U83" s="468"/>
      <c r="V83" s="468"/>
      <c r="W83" s="468"/>
      <c r="X83" s="468"/>
      <c r="Y83" s="468"/>
      <c r="Z83" s="468"/>
    </row>
    <row r="84" spans="1:26" ht="15" customHeight="1">
      <c r="A84" s="468"/>
      <c r="B84" s="468"/>
      <c r="C84" s="468"/>
      <c r="D84" s="468"/>
      <c r="E84" s="468"/>
      <c r="F84" s="468"/>
      <c r="G84" s="468"/>
      <c r="H84" s="468"/>
      <c r="I84" s="468"/>
      <c r="J84" s="468"/>
      <c r="K84" s="468"/>
      <c r="L84" s="468"/>
      <c r="M84" s="468"/>
      <c r="N84" s="468"/>
      <c r="O84" s="468"/>
      <c r="P84" s="468"/>
      <c r="Q84" s="468"/>
      <c r="R84" s="468"/>
      <c r="S84" s="468"/>
      <c r="T84" s="468"/>
      <c r="U84" s="468"/>
      <c r="V84" s="468"/>
      <c r="W84" s="468"/>
      <c r="X84" s="468"/>
      <c r="Y84" s="468"/>
      <c r="Z84" s="468"/>
    </row>
    <row r="85" spans="1:26" ht="15" customHeight="1">
      <c r="A85" s="468"/>
      <c r="B85" s="468"/>
      <c r="C85" s="468"/>
      <c r="D85" s="468"/>
      <c r="E85" s="468"/>
      <c r="F85" s="468"/>
      <c r="G85" s="468"/>
      <c r="H85" s="468"/>
      <c r="I85" s="468"/>
      <c r="J85" s="468"/>
      <c r="K85" s="468"/>
      <c r="L85" s="468"/>
      <c r="M85" s="468"/>
      <c r="N85" s="468"/>
      <c r="O85" s="468"/>
      <c r="P85" s="468"/>
      <c r="Q85" s="468"/>
      <c r="R85" s="468"/>
      <c r="S85" s="468"/>
      <c r="T85" s="468"/>
      <c r="U85" s="468"/>
      <c r="V85" s="468"/>
      <c r="W85" s="468"/>
      <c r="X85" s="468"/>
      <c r="Y85" s="468"/>
      <c r="Z85" s="468"/>
    </row>
    <row r="86" spans="1:26" ht="15" customHeight="1">
      <c r="A86" s="468"/>
      <c r="B86" s="468"/>
      <c r="C86" s="468"/>
      <c r="D86" s="468"/>
      <c r="E86" s="468"/>
      <c r="F86" s="468"/>
      <c r="G86" s="468"/>
      <c r="H86" s="468"/>
      <c r="I86" s="468"/>
      <c r="J86" s="468"/>
      <c r="K86" s="468"/>
      <c r="L86" s="468"/>
      <c r="M86" s="468"/>
      <c r="N86" s="468"/>
      <c r="O86" s="468"/>
      <c r="P86" s="468"/>
      <c r="Q86" s="468"/>
      <c r="R86" s="468"/>
      <c r="S86" s="468"/>
      <c r="T86" s="468"/>
      <c r="U86" s="468"/>
      <c r="V86" s="468"/>
      <c r="W86" s="468"/>
      <c r="X86" s="468"/>
      <c r="Y86" s="468"/>
      <c r="Z86" s="468"/>
    </row>
    <row r="87" spans="1:26" ht="15" customHeight="1">
      <c r="A87" s="468"/>
      <c r="B87" s="468"/>
      <c r="C87" s="468"/>
      <c r="D87" s="468"/>
      <c r="E87" s="468"/>
      <c r="F87" s="468"/>
      <c r="G87" s="468"/>
      <c r="H87" s="468"/>
      <c r="I87" s="468"/>
      <c r="J87" s="468"/>
      <c r="K87" s="468"/>
      <c r="L87" s="468"/>
      <c r="M87" s="468"/>
      <c r="N87" s="468"/>
      <c r="O87" s="468"/>
      <c r="P87" s="468"/>
      <c r="Q87" s="468"/>
      <c r="R87" s="468"/>
      <c r="S87" s="468"/>
      <c r="T87" s="468"/>
      <c r="U87" s="468"/>
      <c r="V87" s="468"/>
      <c r="W87" s="468"/>
      <c r="X87" s="468"/>
      <c r="Y87" s="468"/>
      <c r="Z87" s="468"/>
    </row>
    <row r="88" spans="1:26" ht="15" customHeight="1">
      <c r="A88" s="468"/>
      <c r="B88" s="468"/>
      <c r="C88" s="468"/>
      <c r="D88" s="468"/>
      <c r="E88" s="468"/>
      <c r="F88" s="468"/>
      <c r="G88" s="468"/>
      <c r="H88" s="468"/>
      <c r="I88" s="468"/>
      <c r="J88" s="468"/>
      <c r="K88" s="468"/>
      <c r="L88" s="468"/>
      <c r="M88" s="468"/>
      <c r="N88" s="468"/>
      <c r="O88" s="468"/>
      <c r="P88" s="468"/>
      <c r="Q88" s="468"/>
      <c r="R88" s="468"/>
      <c r="S88" s="468"/>
      <c r="T88" s="468"/>
      <c r="U88" s="468"/>
      <c r="V88" s="468"/>
      <c r="W88" s="468"/>
      <c r="X88" s="468"/>
      <c r="Y88" s="468"/>
      <c r="Z88" s="468"/>
    </row>
    <row r="89" spans="1:26" ht="15" customHeight="1">
      <c r="A89" s="468"/>
      <c r="B89" s="468"/>
      <c r="C89" s="468"/>
      <c r="D89" s="468"/>
      <c r="E89" s="468"/>
      <c r="F89" s="468"/>
      <c r="G89" s="468"/>
      <c r="H89" s="468"/>
      <c r="I89" s="468"/>
      <c r="J89" s="468"/>
      <c r="K89" s="468"/>
      <c r="L89" s="468"/>
      <c r="M89" s="468"/>
      <c r="N89" s="468"/>
      <c r="O89" s="468"/>
      <c r="P89" s="468"/>
      <c r="Q89" s="468"/>
      <c r="R89" s="468"/>
      <c r="S89" s="468"/>
      <c r="T89" s="468"/>
      <c r="U89" s="468"/>
      <c r="V89" s="468"/>
      <c r="W89" s="468"/>
      <c r="X89" s="468"/>
      <c r="Y89" s="468"/>
      <c r="Z89" s="468"/>
    </row>
    <row r="90" spans="1:26" ht="15" customHeight="1">
      <c r="A90" s="468"/>
      <c r="B90" s="468"/>
      <c r="C90" s="468"/>
      <c r="D90" s="468"/>
      <c r="E90" s="468"/>
      <c r="F90" s="468"/>
      <c r="G90" s="468"/>
      <c r="H90" s="468"/>
      <c r="I90" s="468"/>
      <c r="J90" s="468"/>
      <c r="K90" s="468"/>
      <c r="L90" s="468"/>
      <c r="M90" s="468"/>
      <c r="N90" s="468"/>
      <c r="O90" s="468"/>
      <c r="P90" s="468"/>
      <c r="Q90" s="468"/>
      <c r="R90" s="468"/>
      <c r="S90" s="468"/>
      <c r="T90" s="468"/>
      <c r="U90" s="468"/>
      <c r="V90" s="468"/>
      <c r="W90" s="468"/>
      <c r="X90" s="468"/>
      <c r="Y90" s="468"/>
      <c r="Z90" s="468"/>
    </row>
    <row r="91" spans="1:26" ht="15" customHeight="1">
      <c r="A91" s="468"/>
      <c r="B91" s="468"/>
      <c r="C91" s="468"/>
      <c r="D91" s="468"/>
      <c r="E91" s="468"/>
      <c r="F91" s="468"/>
      <c r="G91" s="468"/>
      <c r="H91" s="468"/>
      <c r="I91" s="468"/>
      <c r="J91" s="468"/>
      <c r="K91" s="468"/>
      <c r="L91" s="468"/>
      <c r="M91" s="468"/>
      <c r="N91" s="468"/>
      <c r="O91" s="468"/>
      <c r="P91" s="468"/>
      <c r="Q91" s="468"/>
      <c r="R91" s="468"/>
      <c r="S91" s="468"/>
      <c r="T91" s="468"/>
      <c r="U91" s="468"/>
      <c r="V91" s="468"/>
      <c r="W91" s="468"/>
      <c r="X91" s="468"/>
      <c r="Y91" s="468"/>
      <c r="Z91" s="468"/>
    </row>
    <row r="92" spans="1:26" ht="15" customHeight="1">
      <c r="A92" s="468"/>
      <c r="B92" s="468"/>
      <c r="C92" s="468"/>
      <c r="D92" s="468"/>
      <c r="E92" s="468"/>
      <c r="F92" s="468"/>
      <c r="G92" s="468"/>
      <c r="H92" s="468"/>
      <c r="I92" s="468"/>
      <c r="J92" s="468"/>
      <c r="K92" s="468"/>
      <c r="L92" s="468"/>
      <c r="M92" s="468"/>
      <c r="N92" s="468"/>
      <c r="O92" s="468"/>
      <c r="P92" s="468"/>
      <c r="Q92" s="468"/>
      <c r="R92" s="468"/>
      <c r="S92" s="468"/>
      <c r="T92" s="468"/>
      <c r="U92" s="468"/>
      <c r="V92" s="468"/>
      <c r="W92" s="468"/>
      <c r="X92" s="468"/>
      <c r="Y92" s="468"/>
      <c r="Z92" s="468"/>
    </row>
    <row r="93" spans="1:26" ht="15" customHeight="1">
      <c r="A93" s="468"/>
      <c r="B93" s="468"/>
      <c r="C93" s="468"/>
      <c r="D93" s="468"/>
      <c r="E93" s="468"/>
      <c r="F93" s="468"/>
      <c r="G93" s="468"/>
      <c r="H93" s="468"/>
      <c r="I93" s="468"/>
      <c r="J93" s="468"/>
      <c r="K93" s="468"/>
      <c r="L93" s="468"/>
      <c r="M93" s="468"/>
      <c r="N93" s="468"/>
      <c r="O93" s="468"/>
      <c r="P93" s="468"/>
      <c r="Q93" s="468"/>
      <c r="R93" s="468"/>
      <c r="S93" s="468"/>
      <c r="T93" s="468"/>
      <c r="U93" s="468"/>
      <c r="V93" s="468"/>
      <c r="W93" s="468"/>
      <c r="X93" s="468"/>
      <c r="Y93" s="468"/>
      <c r="Z93" s="468"/>
    </row>
    <row r="94" spans="1:26" ht="15" customHeight="1">
      <c r="A94" s="468"/>
      <c r="B94" s="468"/>
      <c r="C94" s="468"/>
      <c r="D94" s="468"/>
      <c r="E94" s="468"/>
      <c r="F94" s="468"/>
      <c r="G94" s="468"/>
      <c r="H94" s="468"/>
      <c r="I94" s="468"/>
      <c r="J94" s="468"/>
      <c r="K94" s="468"/>
      <c r="L94" s="468"/>
      <c r="M94" s="468"/>
      <c r="N94" s="468"/>
      <c r="O94" s="468"/>
      <c r="P94" s="468"/>
      <c r="Q94" s="468"/>
      <c r="R94" s="468"/>
      <c r="S94" s="468"/>
      <c r="T94" s="468"/>
      <c r="U94" s="468"/>
      <c r="V94" s="468"/>
      <c r="W94" s="468"/>
      <c r="X94" s="468"/>
      <c r="Y94" s="468"/>
      <c r="Z94" s="468"/>
    </row>
    <row r="95" spans="1:26" ht="15" customHeight="1">
      <c r="A95" s="468"/>
      <c r="B95" s="468"/>
      <c r="C95" s="468"/>
      <c r="D95" s="468"/>
      <c r="E95" s="468"/>
      <c r="F95" s="468"/>
      <c r="G95" s="468"/>
      <c r="H95" s="468"/>
      <c r="I95" s="468"/>
      <c r="J95" s="468"/>
      <c r="K95" s="468"/>
      <c r="L95" s="468"/>
      <c r="M95" s="468"/>
      <c r="N95" s="468"/>
      <c r="O95" s="468"/>
      <c r="P95" s="468"/>
      <c r="Q95" s="468"/>
      <c r="R95" s="468"/>
      <c r="S95" s="468"/>
      <c r="T95" s="468"/>
      <c r="U95" s="468"/>
      <c r="V95" s="468"/>
      <c r="W95" s="468"/>
      <c r="X95" s="468"/>
      <c r="Y95" s="468"/>
      <c r="Z95" s="468"/>
    </row>
    <row r="96" spans="1:26" ht="15" customHeight="1">
      <c r="A96" s="468"/>
      <c r="B96" s="468"/>
      <c r="C96" s="468"/>
      <c r="D96" s="468"/>
      <c r="E96" s="468"/>
      <c r="F96" s="468"/>
      <c r="G96" s="468"/>
      <c r="H96" s="468"/>
      <c r="I96" s="468"/>
      <c r="J96" s="468"/>
      <c r="K96" s="468"/>
      <c r="L96" s="468"/>
      <c r="M96" s="468"/>
      <c r="N96" s="468"/>
      <c r="O96" s="468"/>
      <c r="P96" s="468"/>
      <c r="Q96" s="468"/>
      <c r="R96" s="468"/>
      <c r="S96" s="468"/>
      <c r="T96" s="468"/>
      <c r="U96" s="468"/>
      <c r="V96" s="468"/>
      <c r="W96" s="468"/>
      <c r="X96" s="468"/>
      <c r="Y96" s="468"/>
      <c r="Z96" s="468"/>
    </row>
    <row r="97" spans="1:26" ht="15" customHeight="1">
      <c r="A97" s="468"/>
      <c r="B97" s="468"/>
      <c r="C97" s="468"/>
      <c r="D97" s="468"/>
      <c r="E97" s="468"/>
      <c r="F97" s="468"/>
      <c r="G97" s="468"/>
      <c r="H97" s="468"/>
      <c r="I97" s="468"/>
      <c r="J97" s="468"/>
      <c r="K97" s="468"/>
      <c r="L97" s="468"/>
      <c r="M97" s="468"/>
      <c r="N97" s="468"/>
      <c r="O97" s="468"/>
      <c r="P97" s="468"/>
      <c r="Q97" s="468"/>
      <c r="R97" s="468"/>
      <c r="S97" s="468"/>
      <c r="T97" s="468"/>
      <c r="U97" s="468"/>
      <c r="V97" s="468"/>
      <c r="W97" s="468"/>
      <c r="X97" s="468"/>
      <c r="Y97" s="468"/>
      <c r="Z97" s="468"/>
    </row>
    <row r="98" spans="1:26" ht="15" customHeight="1">
      <c r="A98" s="468"/>
      <c r="B98" s="468"/>
      <c r="C98" s="468"/>
      <c r="D98" s="468"/>
      <c r="E98" s="468"/>
      <c r="F98" s="468"/>
      <c r="G98" s="468"/>
      <c r="H98" s="468"/>
      <c r="I98" s="468"/>
      <c r="J98" s="468"/>
      <c r="K98" s="468"/>
      <c r="L98" s="468"/>
      <c r="M98" s="468"/>
      <c r="N98" s="468"/>
      <c r="O98" s="468"/>
      <c r="P98" s="468"/>
      <c r="Q98" s="468"/>
      <c r="R98" s="468"/>
      <c r="S98" s="468"/>
      <c r="T98" s="468"/>
      <c r="U98" s="468"/>
      <c r="V98" s="468"/>
      <c r="W98" s="468"/>
      <c r="X98" s="468"/>
      <c r="Y98" s="468"/>
      <c r="Z98" s="468"/>
    </row>
    <row r="99" spans="1:26" ht="15" customHeight="1">
      <c r="A99" s="468"/>
      <c r="B99" s="468"/>
      <c r="C99" s="468"/>
      <c r="D99" s="468"/>
      <c r="E99" s="468"/>
      <c r="F99" s="468"/>
      <c r="G99" s="468"/>
      <c r="H99" s="468"/>
      <c r="I99" s="468"/>
      <c r="J99" s="468"/>
      <c r="K99" s="468"/>
      <c r="L99" s="468"/>
      <c r="M99" s="468"/>
      <c r="N99" s="468"/>
      <c r="O99" s="468"/>
      <c r="P99" s="468"/>
      <c r="Q99" s="468"/>
      <c r="R99" s="468"/>
      <c r="S99" s="468"/>
      <c r="T99" s="468"/>
      <c r="U99" s="468"/>
      <c r="V99" s="468"/>
      <c r="W99" s="468"/>
      <c r="X99" s="468"/>
      <c r="Y99" s="468"/>
      <c r="Z99" s="468"/>
    </row>
    <row r="100" spans="1:26" ht="15" customHeight="1">
      <c r="A100" s="468"/>
      <c r="B100" s="468"/>
      <c r="C100" s="468"/>
      <c r="D100" s="468"/>
      <c r="E100" s="468"/>
      <c r="F100" s="468"/>
      <c r="G100" s="468"/>
      <c r="H100" s="468"/>
      <c r="I100" s="468"/>
      <c r="J100" s="468"/>
      <c r="K100" s="468"/>
      <c r="L100" s="468"/>
      <c r="M100" s="468"/>
      <c r="N100" s="468"/>
      <c r="O100" s="468"/>
      <c r="P100" s="468"/>
      <c r="Q100" s="468"/>
      <c r="R100" s="468"/>
      <c r="S100" s="468"/>
      <c r="T100" s="468"/>
      <c r="U100" s="468"/>
      <c r="V100" s="468"/>
      <c r="W100" s="468"/>
      <c r="X100" s="468"/>
      <c r="Y100" s="468"/>
      <c r="Z100" s="468"/>
    </row>
    <row r="101" spans="1:26" ht="15" customHeight="1">
      <c r="A101" s="468"/>
      <c r="B101" s="468"/>
      <c r="C101" s="468"/>
      <c r="D101" s="468"/>
      <c r="E101" s="468"/>
      <c r="F101" s="468"/>
      <c r="G101" s="468"/>
      <c r="H101" s="468"/>
      <c r="I101" s="468"/>
      <c r="J101" s="468"/>
      <c r="K101" s="468"/>
      <c r="L101" s="468"/>
      <c r="M101" s="468"/>
      <c r="N101" s="468"/>
      <c r="O101" s="468"/>
      <c r="P101" s="468"/>
      <c r="Q101" s="468"/>
      <c r="R101" s="468"/>
      <c r="S101" s="468"/>
      <c r="T101" s="468"/>
      <c r="U101" s="468"/>
      <c r="V101" s="468"/>
      <c r="W101" s="468"/>
      <c r="X101" s="468"/>
      <c r="Y101" s="468"/>
      <c r="Z101" s="468"/>
    </row>
    <row r="102" spans="1:26" ht="15" customHeight="1">
      <c r="A102" s="468"/>
      <c r="B102" s="468"/>
      <c r="C102" s="468"/>
      <c r="D102" s="468"/>
      <c r="E102" s="468"/>
      <c r="F102" s="468"/>
      <c r="G102" s="468"/>
      <c r="H102" s="468"/>
      <c r="I102" s="468"/>
      <c r="J102" s="468"/>
      <c r="K102" s="468"/>
      <c r="L102" s="468"/>
      <c r="M102" s="468"/>
      <c r="N102" s="468"/>
      <c r="O102" s="468"/>
      <c r="P102" s="468"/>
      <c r="Q102" s="468"/>
      <c r="R102" s="468"/>
      <c r="S102" s="468"/>
      <c r="T102" s="468"/>
      <c r="U102" s="468"/>
      <c r="V102" s="468"/>
      <c r="W102" s="468"/>
      <c r="X102" s="468"/>
      <c r="Y102" s="468"/>
      <c r="Z102" s="468"/>
    </row>
    <row r="103" spans="1:26" ht="15" customHeight="1">
      <c r="A103" s="468"/>
      <c r="B103" s="468"/>
      <c r="C103" s="468"/>
      <c r="D103" s="468"/>
      <c r="E103" s="468"/>
      <c r="F103" s="468"/>
      <c r="G103" s="468"/>
      <c r="H103" s="468"/>
      <c r="I103" s="468"/>
      <c r="J103" s="468"/>
      <c r="K103" s="468"/>
      <c r="L103" s="468"/>
      <c r="M103" s="468"/>
      <c r="N103" s="468"/>
      <c r="O103" s="468"/>
      <c r="P103" s="468"/>
      <c r="Q103" s="468"/>
      <c r="R103" s="468"/>
      <c r="S103" s="468"/>
      <c r="T103" s="468"/>
      <c r="U103" s="468"/>
      <c r="V103" s="468"/>
      <c r="W103" s="468"/>
      <c r="X103" s="468"/>
      <c r="Y103" s="468"/>
      <c r="Z103" s="468"/>
    </row>
    <row r="104" spans="1:26" ht="15" customHeight="1">
      <c r="A104" s="468"/>
      <c r="B104" s="468"/>
      <c r="C104" s="468"/>
      <c r="D104" s="468"/>
      <c r="E104" s="468"/>
      <c r="F104" s="468"/>
      <c r="G104" s="468"/>
      <c r="H104" s="468"/>
      <c r="I104" s="468"/>
      <c r="J104" s="468"/>
      <c r="K104" s="468"/>
      <c r="L104" s="468"/>
      <c r="M104" s="468"/>
      <c r="N104" s="468"/>
      <c r="O104" s="468"/>
      <c r="P104" s="468"/>
      <c r="Q104" s="468"/>
      <c r="R104" s="468"/>
      <c r="S104" s="468"/>
      <c r="T104" s="468"/>
      <c r="U104" s="468"/>
      <c r="V104" s="468"/>
      <c r="W104" s="468"/>
      <c r="X104" s="468"/>
      <c r="Y104" s="468"/>
      <c r="Z104" s="468"/>
    </row>
    <row r="105" spans="1:26" ht="15" customHeight="1">
      <c r="A105" s="468"/>
      <c r="B105" s="468"/>
      <c r="C105" s="468"/>
      <c r="D105" s="468"/>
      <c r="E105" s="468"/>
      <c r="F105" s="468"/>
      <c r="G105" s="468"/>
      <c r="H105" s="468"/>
      <c r="I105" s="468"/>
      <c r="J105" s="468"/>
      <c r="K105" s="468"/>
      <c r="L105" s="468"/>
      <c r="M105" s="468"/>
      <c r="N105" s="468"/>
      <c r="O105" s="468"/>
      <c r="P105" s="468"/>
      <c r="Q105" s="468"/>
      <c r="R105" s="468"/>
      <c r="S105" s="468"/>
      <c r="T105" s="468"/>
      <c r="U105" s="468"/>
      <c r="V105" s="468"/>
      <c r="W105" s="468"/>
      <c r="X105" s="468"/>
      <c r="Y105" s="468"/>
      <c r="Z105" s="468"/>
    </row>
    <row r="106" spans="1:26" ht="15" customHeight="1">
      <c r="A106" s="468"/>
      <c r="B106" s="468"/>
      <c r="C106" s="468"/>
      <c r="D106" s="468"/>
      <c r="E106" s="468"/>
      <c r="F106" s="468"/>
      <c r="G106" s="468"/>
      <c r="H106" s="468"/>
      <c r="I106" s="468"/>
      <c r="J106" s="468"/>
      <c r="K106" s="468"/>
      <c r="L106" s="468"/>
      <c r="M106" s="468"/>
      <c r="N106" s="468"/>
      <c r="O106" s="468"/>
      <c r="P106" s="468"/>
      <c r="Q106" s="468"/>
      <c r="R106" s="468"/>
      <c r="S106" s="468"/>
      <c r="T106" s="468"/>
      <c r="U106" s="468"/>
      <c r="V106" s="468"/>
      <c r="W106" s="468"/>
      <c r="X106" s="468"/>
      <c r="Y106" s="468"/>
      <c r="Z106" s="468"/>
    </row>
    <row r="107" spans="1:26" ht="15" customHeight="1">
      <c r="A107" s="468"/>
      <c r="B107" s="468"/>
      <c r="C107" s="468"/>
      <c r="D107" s="468"/>
      <c r="E107" s="468"/>
      <c r="F107" s="468"/>
      <c r="G107" s="468"/>
      <c r="H107" s="468"/>
      <c r="I107" s="468"/>
      <c r="J107" s="468"/>
      <c r="K107" s="468"/>
      <c r="L107" s="468"/>
      <c r="M107" s="468"/>
      <c r="N107" s="468"/>
      <c r="O107" s="468"/>
      <c r="P107" s="468"/>
      <c r="Q107" s="468"/>
      <c r="R107" s="468"/>
      <c r="S107" s="468"/>
      <c r="T107" s="468"/>
      <c r="U107" s="468"/>
      <c r="V107" s="468"/>
      <c r="W107" s="468"/>
      <c r="X107" s="468"/>
      <c r="Y107" s="468"/>
      <c r="Z107" s="468"/>
    </row>
    <row r="108" spans="1:26" ht="15" customHeight="1">
      <c r="A108" s="468"/>
      <c r="B108" s="468"/>
      <c r="C108" s="468"/>
      <c r="D108" s="468"/>
      <c r="E108" s="468"/>
      <c r="F108" s="468"/>
      <c r="G108" s="468"/>
      <c r="H108" s="468"/>
      <c r="I108" s="468"/>
      <c r="J108" s="468"/>
      <c r="K108" s="468"/>
      <c r="L108" s="468"/>
      <c r="M108" s="468"/>
      <c r="N108" s="468"/>
      <c r="O108" s="468"/>
      <c r="P108" s="468"/>
      <c r="Q108" s="468"/>
      <c r="R108" s="468"/>
      <c r="S108" s="468"/>
      <c r="T108" s="468"/>
      <c r="U108" s="468"/>
      <c r="V108" s="468"/>
      <c r="W108" s="468"/>
      <c r="X108" s="468"/>
      <c r="Y108" s="468"/>
      <c r="Z108" s="468"/>
    </row>
    <row r="109" spans="1:26" ht="15" customHeight="1">
      <c r="A109" s="468"/>
      <c r="B109" s="468"/>
      <c r="C109" s="468"/>
      <c r="D109" s="468"/>
      <c r="E109" s="468"/>
      <c r="F109" s="468"/>
      <c r="G109" s="468"/>
      <c r="H109" s="468"/>
      <c r="I109" s="468"/>
      <c r="J109" s="468"/>
      <c r="K109" s="468"/>
      <c r="L109" s="468"/>
      <c r="M109" s="468"/>
      <c r="N109" s="468"/>
      <c r="O109" s="468"/>
      <c r="P109" s="468"/>
      <c r="Q109" s="468"/>
      <c r="R109" s="468"/>
      <c r="S109" s="468"/>
      <c r="T109" s="468"/>
      <c r="U109" s="468"/>
      <c r="V109" s="468"/>
      <c r="W109" s="468"/>
      <c r="X109" s="468"/>
      <c r="Y109" s="468"/>
      <c r="Z109" s="468"/>
    </row>
    <row r="110" spans="1:26" ht="15" customHeight="1">
      <c r="A110" s="468"/>
      <c r="B110" s="468"/>
      <c r="C110" s="468"/>
      <c r="D110" s="468"/>
      <c r="E110" s="468"/>
      <c r="F110" s="468"/>
      <c r="G110" s="468"/>
      <c r="H110" s="468"/>
      <c r="I110" s="468"/>
      <c r="J110" s="468"/>
      <c r="K110" s="468"/>
      <c r="L110" s="468"/>
      <c r="M110" s="468"/>
      <c r="N110" s="468"/>
      <c r="O110" s="468"/>
      <c r="P110" s="468"/>
      <c r="Q110" s="468"/>
      <c r="R110" s="468"/>
      <c r="S110" s="468"/>
      <c r="T110" s="468"/>
      <c r="U110" s="468"/>
      <c r="V110" s="468"/>
      <c r="W110" s="468"/>
      <c r="X110" s="468"/>
      <c r="Y110" s="468"/>
      <c r="Z110" s="468"/>
    </row>
    <row r="111" spans="1:26" ht="15" customHeight="1">
      <c r="A111" s="468"/>
      <c r="B111" s="468"/>
      <c r="C111" s="468"/>
      <c r="D111" s="468"/>
      <c r="E111" s="468"/>
      <c r="F111" s="468"/>
      <c r="G111" s="468"/>
      <c r="H111" s="468"/>
      <c r="I111" s="468"/>
      <c r="J111" s="468"/>
      <c r="K111" s="468"/>
      <c r="L111" s="468"/>
      <c r="M111" s="468"/>
      <c r="N111" s="468"/>
      <c r="O111" s="468"/>
      <c r="P111" s="468"/>
      <c r="Q111" s="468"/>
      <c r="R111" s="468"/>
      <c r="S111" s="468"/>
      <c r="T111" s="468"/>
      <c r="U111" s="468"/>
      <c r="V111" s="468"/>
      <c r="W111" s="468"/>
      <c r="X111" s="468"/>
      <c r="Y111" s="468"/>
      <c r="Z111" s="468"/>
    </row>
    <row r="112" spans="1:26" ht="15" customHeight="1">
      <c r="A112" s="468"/>
      <c r="B112" s="468"/>
      <c r="C112" s="468"/>
      <c r="D112" s="468"/>
      <c r="E112" s="468"/>
      <c r="F112" s="468"/>
      <c r="G112" s="468"/>
      <c r="H112" s="468"/>
      <c r="I112" s="468"/>
      <c r="J112" s="468"/>
      <c r="K112" s="468"/>
      <c r="L112" s="468"/>
      <c r="M112" s="468"/>
      <c r="N112" s="468"/>
      <c r="O112" s="468"/>
      <c r="P112" s="468"/>
      <c r="Q112" s="468"/>
      <c r="R112" s="468"/>
      <c r="S112" s="468"/>
      <c r="T112" s="468"/>
      <c r="U112" s="468"/>
      <c r="V112" s="468"/>
      <c r="W112" s="468"/>
      <c r="X112" s="468"/>
      <c r="Y112" s="468"/>
      <c r="Z112" s="468"/>
    </row>
    <row r="113" spans="1:26" ht="15" customHeight="1">
      <c r="A113" s="468"/>
      <c r="B113" s="468"/>
      <c r="C113" s="468"/>
      <c r="D113" s="468"/>
      <c r="E113" s="468"/>
      <c r="F113" s="468"/>
      <c r="G113" s="468"/>
      <c r="H113" s="468"/>
      <c r="I113" s="468"/>
      <c r="J113" s="468"/>
      <c r="K113" s="468"/>
      <c r="L113" s="468"/>
      <c r="M113" s="468"/>
      <c r="N113" s="468"/>
      <c r="O113" s="468"/>
      <c r="P113" s="468"/>
      <c r="Q113" s="468"/>
      <c r="R113" s="468"/>
      <c r="S113" s="468"/>
      <c r="T113" s="468"/>
      <c r="U113" s="468"/>
      <c r="V113" s="468"/>
      <c r="W113" s="468"/>
      <c r="X113" s="468"/>
      <c r="Y113" s="468"/>
      <c r="Z113" s="468"/>
    </row>
    <row r="114" spans="1:26" ht="15" customHeight="1">
      <c r="A114" s="468"/>
      <c r="B114" s="468"/>
      <c r="C114" s="468"/>
      <c r="D114" s="468"/>
      <c r="E114" s="468"/>
      <c r="F114" s="468"/>
      <c r="G114" s="468"/>
      <c r="H114" s="468"/>
      <c r="I114" s="468"/>
      <c r="J114" s="468"/>
      <c r="K114" s="468"/>
      <c r="L114" s="468"/>
      <c r="M114" s="468"/>
      <c r="N114" s="468"/>
      <c r="O114" s="468"/>
      <c r="P114" s="468"/>
      <c r="Q114" s="468"/>
      <c r="R114" s="468"/>
      <c r="S114" s="468"/>
      <c r="T114" s="468"/>
      <c r="U114" s="468"/>
      <c r="V114" s="468"/>
      <c r="W114" s="468"/>
      <c r="X114" s="468"/>
      <c r="Y114" s="468"/>
      <c r="Z114" s="468"/>
    </row>
    <row r="115" spans="1:26" ht="15" customHeight="1">
      <c r="A115" s="468"/>
      <c r="B115" s="468"/>
      <c r="C115" s="468"/>
      <c r="D115" s="468"/>
      <c r="E115" s="468"/>
      <c r="F115" s="468"/>
      <c r="G115" s="468"/>
      <c r="H115" s="468"/>
      <c r="I115" s="468"/>
      <c r="J115" s="468"/>
      <c r="K115" s="468"/>
      <c r="L115" s="468"/>
      <c r="M115" s="468"/>
      <c r="N115" s="468"/>
      <c r="O115" s="468"/>
      <c r="P115" s="468"/>
      <c r="Q115" s="468"/>
      <c r="R115" s="468"/>
      <c r="S115" s="468"/>
      <c r="T115" s="468"/>
      <c r="U115" s="468"/>
      <c r="V115" s="468"/>
      <c r="W115" s="468"/>
      <c r="X115" s="468"/>
      <c r="Y115" s="468"/>
      <c r="Z115" s="468"/>
    </row>
    <row r="116" spans="1:26" ht="15" customHeight="1">
      <c r="A116" s="468"/>
      <c r="B116" s="468"/>
      <c r="C116" s="468"/>
      <c r="D116" s="468"/>
      <c r="E116" s="468"/>
      <c r="F116" s="468"/>
      <c r="G116" s="468"/>
      <c r="H116" s="468"/>
      <c r="I116" s="468"/>
      <c r="J116" s="468"/>
      <c r="K116" s="468"/>
      <c r="L116" s="468"/>
      <c r="M116" s="468"/>
      <c r="N116" s="468"/>
      <c r="O116" s="468"/>
      <c r="P116" s="468"/>
      <c r="Q116" s="468"/>
      <c r="R116" s="468"/>
      <c r="S116" s="468"/>
      <c r="T116" s="468"/>
      <c r="U116" s="468"/>
      <c r="V116" s="468"/>
      <c r="W116" s="468"/>
      <c r="X116" s="468"/>
      <c r="Y116" s="468"/>
      <c r="Z116" s="468"/>
    </row>
    <row r="117" spans="1:26" ht="15" customHeight="1">
      <c r="A117" s="468"/>
      <c r="B117" s="468"/>
      <c r="C117" s="468"/>
      <c r="D117" s="468"/>
      <c r="E117" s="468"/>
      <c r="F117" s="468"/>
      <c r="G117" s="468"/>
      <c r="H117" s="468"/>
      <c r="I117" s="468"/>
      <c r="J117" s="468"/>
      <c r="K117" s="468"/>
      <c r="L117" s="468"/>
      <c r="M117" s="468"/>
      <c r="N117" s="468"/>
      <c r="O117" s="468"/>
      <c r="P117" s="468"/>
      <c r="Q117" s="468"/>
      <c r="R117" s="468"/>
      <c r="S117" s="468"/>
      <c r="T117" s="468"/>
      <c r="U117" s="468"/>
      <c r="V117" s="468"/>
      <c r="W117" s="468"/>
      <c r="X117" s="468"/>
      <c r="Y117" s="468"/>
      <c r="Z117" s="468"/>
    </row>
    <row r="118" spans="1:26" ht="15" customHeight="1">
      <c r="A118" s="468"/>
      <c r="B118" s="468"/>
      <c r="C118" s="468"/>
      <c r="D118" s="468"/>
      <c r="E118" s="468"/>
      <c r="F118" s="468"/>
      <c r="G118" s="468"/>
      <c r="H118" s="468"/>
      <c r="I118" s="468"/>
      <c r="J118" s="468"/>
      <c r="K118" s="468"/>
      <c r="L118" s="468"/>
      <c r="M118" s="468"/>
      <c r="N118" s="468"/>
      <c r="O118" s="468"/>
      <c r="P118" s="468"/>
      <c r="Q118" s="468"/>
      <c r="R118" s="468"/>
      <c r="S118" s="468"/>
      <c r="T118" s="468"/>
      <c r="U118" s="468"/>
      <c r="V118" s="468"/>
      <c r="W118" s="468"/>
      <c r="X118" s="468"/>
      <c r="Y118" s="468"/>
      <c r="Z118" s="468"/>
    </row>
    <row r="119" spans="1:26" ht="15" customHeight="1">
      <c r="A119" s="468"/>
      <c r="B119" s="468"/>
      <c r="C119" s="468"/>
      <c r="D119" s="468"/>
      <c r="E119" s="468"/>
      <c r="F119" s="468"/>
      <c r="G119" s="468"/>
      <c r="H119" s="468"/>
      <c r="I119" s="468"/>
      <c r="J119" s="468"/>
      <c r="K119" s="468"/>
      <c r="L119" s="468"/>
      <c r="M119" s="468"/>
      <c r="N119" s="468"/>
      <c r="O119" s="468"/>
      <c r="P119" s="468"/>
      <c r="Q119" s="468"/>
      <c r="R119" s="468"/>
      <c r="S119" s="468"/>
      <c r="T119" s="468"/>
      <c r="U119" s="468"/>
      <c r="V119" s="468"/>
      <c r="W119" s="468"/>
      <c r="X119" s="468"/>
      <c r="Y119" s="468"/>
      <c r="Z119" s="468"/>
    </row>
    <row r="120" spans="1:26" ht="15" customHeight="1">
      <c r="A120" s="468"/>
      <c r="B120" s="468"/>
      <c r="C120" s="468"/>
      <c r="D120" s="468"/>
      <c r="E120" s="468"/>
      <c r="F120" s="468"/>
      <c r="G120" s="468"/>
      <c r="H120" s="468"/>
      <c r="I120" s="468"/>
      <c r="J120" s="468"/>
      <c r="K120" s="468"/>
      <c r="L120" s="468"/>
      <c r="M120" s="468"/>
      <c r="N120" s="468"/>
      <c r="O120" s="468"/>
      <c r="P120" s="468"/>
      <c r="Q120" s="468"/>
      <c r="R120" s="468"/>
      <c r="S120" s="468"/>
      <c r="T120" s="468"/>
      <c r="U120" s="468"/>
      <c r="V120" s="468"/>
      <c r="W120" s="468"/>
      <c r="X120" s="468"/>
      <c r="Y120" s="468"/>
      <c r="Z120" s="468"/>
    </row>
    <row r="121" spans="1:26" ht="15" customHeight="1">
      <c r="A121" s="468"/>
      <c r="B121" s="468"/>
      <c r="C121" s="468"/>
      <c r="D121" s="468"/>
      <c r="E121" s="468"/>
      <c r="F121" s="468"/>
      <c r="G121" s="468"/>
      <c r="H121" s="468"/>
      <c r="I121" s="468"/>
      <c r="J121" s="468"/>
      <c r="K121" s="468"/>
      <c r="L121" s="468"/>
      <c r="M121" s="468"/>
      <c r="N121" s="468"/>
      <c r="O121" s="468"/>
      <c r="P121" s="468"/>
      <c r="Q121" s="468"/>
      <c r="R121" s="468"/>
      <c r="S121" s="468"/>
      <c r="T121" s="468"/>
      <c r="U121" s="468"/>
      <c r="V121" s="468"/>
      <c r="W121" s="468"/>
      <c r="X121" s="468"/>
      <c r="Y121" s="468"/>
      <c r="Z121" s="468"/>
    </row>
    <row r="122" spans="1:26" ht="15" customHeight="1">
      <c r="A122" s="468"/>
      <c r="B122" s="468"/>
      <c r="C122" s="468"/>
      <c r="D122" s="468"/>
      <c r="E122" s="468"/>
      <c r="F122" s="468"/>
      <c r="G122" s="468"/>
      <c r="H122" s="468"/>
      <c r="I122" s="468"/>
      <c r="J122" s="468"/>
      <c r="K122" s="468"/>
      <c r="L122" s="468"/>
      <c r="M122" s="468"/>
      <c r="N122" s="468"/>
      <c r="O122" s="468"/>
      <c r="P122" s="468"/>
      <c r="Q122" s="468"/>
      <c r="R122" s="468"/>
      <c r="S122" s="468"/>
      <c r="T122" s="468"/>
      <c r="U122" s="468"/>
      <c r="V122" s="468"/>
      <c r="W122" s="468"/>
      <c r="X122" s="468"/>
      <c r="Y122" s="468"/>
      <c r="Z122" s="468"/>
    </row>
    <row r="123" spans="1:26" ht="15" customHeight="1">
      <c r="A123" s="468"/>
      <c r="B123" s="468"/>
      <c r="C123" s="468"/>
      <c r="D123" s="468"/>
      <c r="E123" s="468"/>
      <c r="F123" s="468"/>
      <c r="G123" s="468"/>
      <c r="H123" s="468"/>
      <c r="I123" s="468"/>
      <c r="J123" s="468"/>
      <c r="K123" s="468"/>
      <c r="L123" s="468"/>
      <c r="M123" s="468"/>
      <c r="N123" s="468"/>
      <c r="O123" s="468"/>
      <c r="P123" s="468"/>
      <c r="Q123" s="468"/>
      <c r="R123" s="468"/>
      <c r="S123" s="468"/>
      <c r="T123" s="468"/>
      <c r="U123" s="468"/>
      <c r="V123" s="468"/>
      <c r="W123" s="468"/>
      <c r="X123" s="468"/>
      <c r="Y123" s="468"/>
      <c r="Z123" s="468"/>
    </row>
    <row r="124" spans="1:26" ht="15" customHeight="1">
      <c r="A124" s="468"/>
      <c r="B124" s="468"/>
      <c r="C124" s="468"/>
      <c r="D124" s="468"/>
      <c r="E124" s="468"/>
      <c r="F124" s="468"/>
      <c r="G124" s="468"/>
      <c r="H124" s="468"/>
      <c r="I124" s="468"/>
      <c r="J124" s="468"/>
      <c r="K124" s="468"/>
      <c r="L124" s="468"/>
      <c r="M124" s="468"/>
      <c r="N124" s="468"/>
      <c r="O124" s="468"/>
      <c r="P124" s="468"/>
      <c r="Q124" s="468"/>
      <c r="R124" s="468"/>
      <c r="S124" s="468"/>
      <c r="T124" s="468"/>
      <c r="U124" s="468"/>
      <c r="V124" s="468"/>
      <c r="W124" s="468"/>
      <c r="X124" s="468"/>
      <c r="Y124" s="468"/>
      <c r="Z124" s="468"/>
    </row>
    <row r="125" spans="1:26" ht="15" customHeight="1">
      <c r="A125" s="468"/>
      <c r="B125" s="468"/>
      <c r="C125" s="468"/>
      <c r="D125" s="468"/>
      <c r="E125" s="468"/>
      <c r="F125" s="468"/>
      <c r="G125" s="468"/>
      <c r="H125" s="468"/>
      <c r="I125" s="468"/>
      <c r="J125" s="468"/>
      <c r="K125" s="468"/>
      <c r="L125" s="468"/>
      <c r="M125" s="468"/>
      <c r="N125" s="468"/>
      <c r="O125" s="468"/>
      <c r="P125" s="468"/>
      <c r="Q125" s="468"/>
      <c r="R125" s="468"/>
      <c r="S125" s="468"/>
      <c r="T125" s="468"/>
      <c r="U125" s="468"/>
      <c r="V125" s="468"/>
      <c r="W125" s="468"/>
      <c r="X125" s="468"/>
      <c r="Y125" s="468"/>
      <c r="Z125" s="468"/>
    </row>
    <row r="126" spans="1:26" ht="15" customHeight="1">
      <c r="A126" s="468"/>
      <c r="B126" s="468"/>
      <c r="C126" s="468"/>
      <c r="D126" s="468"/>
      <c r="E126" s="468"/>
      <c r="F126" s="468"/>
      <c r="G126" s="468"/>
      <c r="H126" s="468"/>
      <c r="I126" s="468"/>
      <c r="J126" s="468"/>
      <c r="K126" s="468"/>
      <c r="L126" s="468"/>
      <c r="M126" s="468"/>
      <c r="N126" s="468"/>
      <c r="O126" s="468"/>
      <c r="P126" s="468"/>
      <c r="Q126" s="468"/>
      <c r="R126" s="468"/>
      <c r="S126" s="468"/>
      <c r="T126" s="468"/>
      <c r="U126" s="468"/>
      <c r="V126" s="468"/>
      <c r="W126" s="468"/>
      <c r="X126" s="468"/>
      <c r="Y126" s="468"/>
      <c r="Z126" s="468"/>
    </row>
    <row r="127" spans="1:26" ht="15" customHeight="1">
      <c r="A127" s="468"/>
      <c r="B127" s="468"/>
      <c r="C127" s="468"/>
      <c r="D127" s="468"/>
      <c r="E127" s="468"/>
      <c r="F127" s="468"/>
      <c r="G127" s="468"/>
      <c r="H127" s="468"/>
      <c r="I127" s="468"/>
      <c r="J127" s="468"/>
      <c r="K127" s="468"/>
      <c r="L127" s="468"/>
      <c r="M127" s="468"/>
      <c r="N127" s="468"/>
      <c r="O127" s="468"/>
      <c r="P127" s="468"/>
      <c r="Q127" s="468"/>
      <c r="R127" s="468"/>
      <c r="S127" s="468"/>
      <c r="T127" s="468"/>
      <c r="U127" s="468"/>
      <c r="V127" s="468"/>
      <c r="W127" s="468"/>
      <c r="X127" s="468"/>
      <c r="Y127" s="468"/>
      <c r="Z127" s="468"/>
    </row>
    <row r="128" spans="1:26" ht="15" customHeight="1">
      <c r="A128" s="468"/>
      <c r="B128" s="468"/>
      <c r="C128" s="468"/>
      <c r="D128" s="468"/>
      <c r="E128" s="468"/>
      <c r="F128" s="468"/>
      <c r="G128" s="468"/>
      <c r="H128" s="468"/>
      <c r="I128" s="468"/>
      <c r="J128" s="468"/>
      <c r="K128" s="468"/>
      <c r="L128" s="468"/>
      <c r="M128" s="468"/>
      <c r="N128" s="468"/>
      <c r="O128" s="468"/>
      <c r="P128" s="468"/>
      <c r="Q128" s="468"/>
      <c r="R128" s="468"/>
      <c r="S128" s="468"/>
      <c r="T128" s="468"/>
      <c r="U128" s="468"/>
      <c r="V128" s="468"/>
      <c r="W128" s="468"/>
      <c r="X128" s="468"/>
      <c r="Y128" s="468"/>
      <c r="Z128" s="468"/>
    </row>
    <row r="129" spans="1:26" ht="15" customHeight="1">
      <c r="A129" s="468"/>
      <c r="B129" s="468"/>
      <c r="C129" s="468"/>
      <c r="D129" s="468"/>
      <c r="E129" s="468"/>
      <c r="F129" s="468"/>
      <c r="G129" s="468"/>
      <c r="H129" s="468"/>
      <c r="I129" s="468"/>
      <c r="J129" s="468"/>
      <c r="K129" s="468"/>
      <c r="L129" s="468"/>
      <c r="M129" s="468"/>
      <c r="N129" s="468"/>
      <c r="O129" s="468"/>
      <c r="P129" s="468"/>
      <c r="Q129" s="468"/>
      <c r="R129" s="468"/>
      <c r="S129" s="468"/>
      <c r="T129" s="468"/>
      <c r="U129" s="468"/>
      <c r="V129" s="468"/>
      <c r="W129" s="468"/>
      <c r="X129" s="468"/>
      <c r="Y129" s="468"/>
      <c r="Z129" s="468"/>
    </row>
    <row r="130" spans="1:26" ht="15" customHeight="1">
      <c r="A130" s="468"/>
      <c r="B130" s="468"/>
      <c r="C130" s="468"/>
      <c r="D130" s="468"/>
      <c r="E130" s="468"/>
      <c r="F130" s="468"/>
      <c r="G130" s="468"/>
      <c r="H130" s="468"/>
      <c r="I130" s="468"/>
      <c r="J130" s="468"/>
      <c r="K130" s="468"/>
      <c r="L130" s="468"/>
      <c r="M130" s="468"/>
      <c r="N130" s="468"/>
      <c r="O130" s="468"/>
      <c r="P130" s="468"/>
      <c r="Q130" s="468"/>
      <c r="R130" s="468"/>
      <c r="S130" s="468"/>
      <c r="T130" s="468"/>
      <c r="U130" s="468"/>
      <c r="V130" s="468"/>
      <c r="W130" s="468"/>
      <c r="X130" s="468"/>
      <c r="Y130" s="468"/>
      <c r="Z130" s="468"/>
    </row>
    <row r="131" spans="1:26" ht="15" customHeight="1">
      <c r="A131" s="468"/>
      <c r="B131" s="468"/>
      <c r="C131" s="468"/>
      <c r="D131" s="468"/>
      <c r="E131" s="468"/>
      <c r="F131" s="468"/>
      <c r="G131" s="468"/>
      <c r="H131" s="468"/>
      <c r="I131" s="468"/>
      <c r="J131" s="468"/>
      <c r="K131" s="468"/>
      <c r="L131" s="468"/>
      <c r="M131" s="468"/>
      <c r="N131" s="468"/>
      <c r="O131" s="468"/>
      <c r="P131" s="468"/>
      <c r="Q131" s="468"/>
      <c r="R131" s="468"/>
      <c r="S131" s="468"/>
      <c r="T131" s="468"/>
      <c r="U131" s="468"/>
      <c r="V131" s="468"/>
      <c r="W131" s="468"/>
      <c r="X131" s="468"/>
      <c r="Y131" s="468"/>
      <c r="Z131" s="468"/>
    </row>
    <row r="132" spans="1:26" ht="15" customHeight="1">
      <c r="A132" s="468"/>
      <c r="B132" s="468"/>
      <c r="C132" s="468"/>
      <c r="D132" s="468"/>
      <c r="E132" s="468"/>
      <c r="F132" s="468"/>
      <c r="G132" s="468"/>
      <c r="H132" s="468"/>
      <c r="I132" s="468"/>
      <c r="J132" s="468"/>
      <c r="K132" s="468"/>
      <c r="L132" s="468"/>
      <c r="M132" s="468"/>
      <c r="N132" s="468"/>
      <c r="O132" s="468"/>
      <c r="P132" s="468"/>
      <c r="Q132" s="468"/>
      <c r="R132" s="468"/>
      <c r="S132" s="468"/>
      <c r="T132" s="468"/>
      <c r="U132" s="468"/>
      <c r="V132" s="468"/>
      <c r="W132" s="468"/>
      <c r="X132" s="468"/>
      <c r="Y132" s="468"/>
      <c r="Z132" s="468"/>
    </row>
    <row r="133" spans="1:26" ht="15" customHeight="1">
      <c r="A133" s="468"/>
      <c r="B133" s="468"/>
      <c r="C133" s="468"/>
      <c r="D133" s="468"/>
      <c r="E133" s="468"/>
      <c r="F133" s="468"/>
      <c r="G133" s="468"/>
      <c r="H133" s="468"/>
      <c r="I133" s="468"/>
      <c r="J133" s="468"/>
      <c r="K133" s="468"/>
      <c r="L133" s="468"/>
      <c r="M133" s="468"/>
      <c r="N133" s="468"/>
      <c r="O133" s="468"/>
      <c r="P133" s="468"/>
      <c r="Q133" s="468"/>
      <c r="R133" s="468"/>
      <c r="S133" s="468"/>
      <c r="T133" s="468"/>
      <c r="U133" s="468"/>
      <c r="V133" s="468"/>
      <c r="W133" s="468"/>
      <c r="X133" s="468"/>
      <c r="Y133" s="468"/>
      <c r="Z133" s="468"/>
    </row>
    <row r="134" spans="1:26" ht="15" customHeight="1">
      <c r="A134" s="468"/>
      <c r="B134" s="468"/>
      <c r="C134" s="468"/>
      <c r="D134" s="468"/>
      <c r="E134" s="468"/>
      <c r="F134" s="468"/>
      <c r="G134" s="468"/>
      <c r="H134" s="468"/>
      <c r="I134" s="468"/>
      <c r="J134" s="468"/>
      <c r="K134" s="468"/>
      <c r="L134" s="468"/>
      <c r="M134" s="468"/>
      <c r="N134" s="468"/>
      <c r="O134" s="468"/>
      <c r="P134" s="468"/>
      <c r="Q134" s="468"/>
      <c r="R134" s="468"/>
      <c r="S134" s="468"/>
      <c r="T134" s="468"/>
      <c r="U134" s="468"/>
      <c r="V134" s="468"/>
      <c r="W134" s="468"/>
      <c r="X134" s="468"/>
      <c r="Y134" s="468"/>
      <c r="Z134" s="468"/>
    </row>
    <row r="135" spans="1:26" ht="15" customHeight="1">
      <c r="A135" s="468"/>
      <c r="B135" s="468"/>
      <c r="C135" s="468"/>
      <c r="D135" s="468"/>
      <c r="E135" s="468"/>
      <c r="F135" s="468"/>
      <c r="G135" s="468"/>
      <c r="H135" s="468"/>
      <c r="I135" s="468"/>
      <c r="J135" s="468"/>
      <c r="K135" s="468"/>
      <c r="L135" s="468"/>
      <c r="M135" s="468"/>
      <c r="N135" s="468"/>
      <c r="O135" s="468"/>
      <c r="P135" s="468"/>
      <c r="Q135" s="468"/>
      <c r="R135" s="468"/>
      <c r="S135" s="468"/>
      <c r="T135" s="468"/>
      <c r="U135" s="468"/>
      <c r="V135" s="468"/>
      <c r="W135" s="468"/>
      <c r="X135" s="468"/>
      <c r="Y135" s="468"/>
      <c r="Z135" s="468"/>
    </row>
    <row r="136" spans="1:26" ht="15" customHeight="1">
      <c r="A136" s="468"/>
      <c r="B136" s="468"/>
      <c r="C136" s="468"/>
      <c r="D136" s="468"/>
      <c r="E136" s="468"/>
      <c r="F136" s="468"/>
      <c r="G136" s="468"/>
      <c r="H136" s="468"/>
      <c r="I136" s="468"/>
      <c r="J136" s="468"/>
      <c r="K136" s="468"/>
      <c r="L136" s="468"/>
      <c r="M136" s="468"/>
      <c r="N136" s="468"/>
      <c r="O136" s="468"/>
      <c r="P136" s="468"/>
      <c r="Q136" s="468"/>
      <c r="R136" s="468"/>
      <c r="S136" s="468"/>
      <c r="T136" s="468"/>
      <c r="U136" s="468"/>
      <c r="V136" s="468"/>
      <c r="W136" s="468"/>
      <c r="X136" s="468"/>
      <c r="Y136" s="468"/>
      <c r="Z136" s="468"/>
    </row>
    <row r="137" spans="1:26" ht="15" customHeight="1">
      <c r="A137" s="468"/>
      <c r="B137" s="468"/>
      <c r="C137" s="468"/>
      <c r="D137" s="468"/>
      <c r="E137" s="468"/>
      <c r="F137" s="468"/>
      <c r="G137" s="468"/>
      <c r="H137" s="468"/>
      <c r="I137" s="468"/>
      <c r="J137" s="468"/>
      <c r="K137" s="468"/>
      <c r="L137" s="468"/>
      <c r="M137" s="468"/>
      <c r="N137" s="468"/>
      <c r="O137" s="468"/>
      <c r="P137" s="468"/>
      <c r="Q137" s="468"/>
      <c r="R137" s="468"/>
      <c r="S137" s="468"/>
      <c r="T137" s="468"/>
      <c r="U137" s="468"/>
      <c r="V137" s="468"/>
      <c r="W137" s="468"/>
      <c r="X137" s="468"/>
      <c r="Y137" s="468"/>
      <c r="Z137" s="468"/>
    </row>
    <row r="138" spans="1:26" ht="15" customHeight="1">
      <c r="A138" s="468"/>
      <c r="B138" s="468"/>
      <c r="C138" s="468"/>
      <c r="D138" s="468"/>
      <c r="E138" s="468"/>
      <c r="F138" s="468"/>
      <c r="G138" s="468"/>
      <c r="H138" s="468"/>
      <c r="I138" s="468"/>
      <c r="J138" s="468"/>
      <c r="K138" s="468"/>
      <c r="L138" s="468"/>
      <c r="M138" s="468"/>
      <c r="N138" s="468"/>
      <c r="O138" s="468"/>
      <c r="P138" s="468"/>
      <c r="Q138" s="468"/>
      <c r="R138" s="468"/>
      <c r="S138" s="468"/>
      <c r="T138" s="468"/>
      <c r="U138" s="468"/>
      <c r="V138" s="468"/>
      <c r="W138" s="468"/>
      <c r="X138" s="468"/>
      <c r="Y138" s="468"/>
      <c r="Z138" s="468"/>
    </row>
    <row r="139" spans="1:26" ht="15" customHeight="1">
      <c r="A139" s="468"/>
      <c r="B139" s="468"/>
      <c r="C139" s="468"/>
      <c r="D139" s="468"/>
      <c r="E139" s="468"/>
      <c r="F139" s="468"/>
      <c r="G139" s="468"/>
      <c r="H139" s="468"/>
      <c r="I139" s="468"/>
      <c r="J139" s="468"/>
      <c r="K139" s="468"/>
      <c r="L139" s="468"/>
      <c r="M139" s="468"/>
      <c r="N139" s="468"/>
      <c r="O139" s="468"/>
      <c r="P139" s="468"/>
      <c r="Q139" s="468"/>
      <c r="R139" s="468"/>
      <c r="S139" s="468"/>
      <c r="T139" s="468"/>
      <c r="U139" s="468"/>
      <c r="V139" s="468"/>
      <c r="W139" s="468"/>
      <c r="X139" s="468"/>
      <c r="Y139" s="468"/>
      <c r="Z139" s="468"/>
    </row>
    <row r="140" spans="1:26" ht="15" customHeight="1">
      <c r="A140" s="468"/>
      <c r="B140" s="468"/>
      <c r="C140" s="468"/>
      <c r="D140" s="468"/>
      <c r="E140" s="468"/>
      <c r="F140" s="468"/>
      <c r="G140" s="468"/>
      <c r="H140" s="468"/>
      <c r="I140" s="468"/>
      <c r="J140" s="468"/>
      <c r="K140" s="468"/>
      <c r="L140" s="468"/>
      <c r="M140" s="468"/>
      <c r="N140" s="468"/>
      <c r="O140" s="468"/>
      <c r="P140" s="468"/>
      <c r="Q140" s="468"/>
      <c r="R140" s="468"/>
      <c r="S140" s="468"/>
      <c r="T140" s="468"/>
      <c r="U140" s="468"/>
      <c r="V140" s="468"/>
      <c r="W140" s="468"/>
      <c r="X140" s="468"/>
      <c r="Y140" s="468"/>
      <c r="Z140" s="468"/>
    </row>
    <row r="141" spans="1:26" ht="15" customHeight="1">
      <c r="A141" s="468"/>
      <c r="B141" s="468"/>
      <c r="C141" s="468"/>
      <c r="D141" s="468"/>
      <c r="E141" s="468"/>
      <c r="F141" s="468"/>
      <c r="G141" s="468"/>
      <c r="H141" s="468"/>
      <c r="I141" s="468"/>
      <c r="J141" s="468"/>
      <c r="K141" s="468"/>
      <c r="L141" s="468"/>
      <c r="M141" s="468"/>
      <c r="N141" s="468"/>
      <c r="O141" s="468"/>
      <c r="P141" s="468"/>
      <c r="Q141" s="468"/>
      <c r="R141" s="468"/>
      <c r="S141" s="468"/>
      <c r="T141" s="468"/>
      <c r="U141" s="468"/>
      <c r="V141" s="468"/>
      <c r="W141" s="468"/>
      <c r="X141" s="468"/>
      <c r="Y141" s="468"/>
      <c r="Z141" s="468"/>
    </row>
    <row r="142" spans="1:26" ht="15" customHeight="1">
      <c r="A142" s="468"/>
      <c r="B142" s="468"/>
      <c r="C142" s="468"/>
      <c r="D142" s="468"/>
      <c r="E142" s="468"/>
      <c r="F142" s="468"/>
      <c r="G142" s="468"/>
      <c r="H142" s="468"/>
      <c r="I142" s="468"/>
      <c r="J142" s="468"/>
      <c r="K142" s="468"/>
      <c r="L142" s="468"/>
      <c r="M142" s="468"/>
      <c r="N142" s="468"/>
      <c r="O142" s="468"/>
      <c r="P142" s="468"/>
      <c r="Q142" s="468"/>
      <c r="R142" s="468"/>
      <c r="S142" s="468"/>
      <c r="T142" s="468"/>
      <c r="U142" s="468"/>
      <c r="V142" s="468"/>
      <c r="W142" s="468"/>
      <c r="X142" s="468"/>
      <c r="Y142" s="468"/>
      <c r="Z142" s="468"/>
    </row>
    <row r="143" spans="1:26" ht="15" customHeight="1">
      <c r="A143" s="468"/>
      <c r="B143" s="468"/>
      <c r="C143" s="468"/>
      <c r="D143" s="468"/>
      <c r="E143" s="468"/>
      <c r="F143" s="468"/>
      <c r="G143" s="468"/>
      <c r="H143" s="468"/>
      <c r="I143" s="468"/>
      <c r="J143" s="468"/>
      <c r="K143" s="468"/>
      <c r="L143" s="468"/>
      <c r="M143" s="468"/>
      <c r="N143" s="468"/>
      <c r="O143" s="468"/>
      <c r="P143" s="468"/>
      <c r="Q143" s="468"/>
      <c r="R143" s="468"/>
      <c r="S143" s="468"/>
      <c r="T143" s="468"/>
      <c r="U143" s="468"/>
      <c r="V143" s="468"/>
      <c r="W143" s="468"/>
      <c r="X143" s="468"/>
      <c r="Y143" s="468"/>
      <c r="Z143" s="468"/>
    </row>
    <row r="144" spans="1:26" ht="15" customHeight="1">
      <c r="A144" s="468"/>
      <c r="B144" s="468"/>
      <c r="C144" s="468"/>
      <c r="D144" s="468"/>
      <c r="E144" s="468"/>
      <c r="F144" s="468"/>
      <c r="G144" s="468"/>
      <c r="H144" s="468"/>
      <c r="I144" s="468"/>
      <c r="J144" s="468"/>
      <c r="K144" s="468"/>
      <c r="L144" s="468"/>
      <c r="M144" s="468"/>
      <c r="N144" s="468"/>
      <c r="O144" s="468"/>
      <c r="P144" s="468"/>
      <c r="Q144" s="468"/>
      <c r="R144" s="468"/>
      <c r="S144" s="468"/>
      <c r="T144" s="468"/>
      <c r="U144" s="468"/>
      <c r="V144" s="468"/>
      <c r="W144" s="468"/>
      <c r="X144" s="468"/>
      <c r="Y144" s="468"/>
      <c r="Z144" s="468"/>
    </row>
    <row r="145" spans="1:26" ht="15" customHeight="1">
      <c r="A145" s="468"/>
      <c r="B145" s="468"/>
      <c r="C145" s="468"/>
      <c r="D145" s="468"/>
      <c r="E145" s="468"/>
      <c r="F145" s="468"/>
      <c r="G145" s="468"/>
      <c r="H145" s="468"/>
      <c r="I145" s="468"/>
      <c r="J145" s="468"/>
      <c r="K145" s="468"/>
      <c r="L145" s="468"/>
      <c r="M145" s="468"/>
      <c r="N145" s="468"/>
      <c r="O145" s="468"/>
      <c r="P145" s="468"/>
      <c r="Q145" s="468"/>
      <c r="R145" s="468"/>
      <c r="S145" s="468"/>
      <c r="T145" s="468"/>
      <c r="U145" s="468"/>
      <c r="V145" s="468"/>
      <c r="W145" s="468"/>
      <c r="X145" s="468"/>
      <c r="Y145" s="468"/>
      <c r="Z145" s="468"/>
    </row>
    <row r="146" spans="1:26" ht="15" customHeight="1">
      <c r="A146" s="468"/>
      <c r="B146" s="468"/>
      <c r="C146" s="468"/>
      <c r="D146" s="468"/>
      <c r="E146" s="468"/>
      <c r="F146" s="468"/>
      <c r="G146" s="468"/>
      <c r="H146" s="468"/>
      <c r="I146" s="468"/>
      <c r="J146" s="468"/>
      <c r="K146" s="468"/>
      <c r="L146" s="468"/>
      <c r="M146" s="468"/>
      <c r="N146" s="468"/>
      <c r="O146" s="468"/>
      <c r="P146" s="468"/>
      <c r="Q146" s="468"/>
      <c r="R146" s="468"/>
      <c r="S146" s="468"/>
      <c r="T146" s="468"/>
      <c r="U146" s="468"/>
      <c r="V146" s="468"/>
      <c r="W146" s="468"/>
      <c r="X146" s="468"/>
      <c r="Y146" s="468"/>
      <c r="Z146" s="468"/>
    </row>
    <row r="147" spans="1:26" ht="15" customHeight="1">
      <c r="A147" s="468"/>
      <c r="B147" s="468"/>
      <c r="C147" s="468"/>
      <c r="D147" s="468"/>
      <c r="E147" s="468"/>
      <c r="F147" s="468"/>
      <c r="G147" s="468"/>
      <c r="H147" s="468"/>
      <c r="I147" s="468"/>
      <c r="J147" s="468"/>
      <c r="K147" s="468"/>
      <c r="L147" s="468"/>
      <c r="M147" s="468"/>
      <c r="N147" s="468"/>
      <c r="O147" s="468"/>
      <c r="P147" s="468"/>
      <c r="Q147" s="468"/>
      <c r="R147" s="468"/>
      <c r="S147" s="468"/>
      <c r="T147" s="468"/>
      <c r="U147" s="468"/>
      <c r="V147" s="468"/>
      <c r="W147" s="468"/>
      <c r="X147" s="468"/>
      <c r="Y147" s="468"/>
      <c r="Z147" s="468"/>
    </row>
    <row r="148" spans="1:26" ht="15" customHeight="1">
      <c r="A148" s="468"/>
      <c r="B148" s="468"/>
      <c r="C148" s="468"/>
      <c r="D148" s="468"/>
      <c r="E148" s="468"/>
      <c r="F148" s="468"/>
      <c r="G148" s="468"/>
      <c r="H148" s="468"/>
      <c r="I148" s="468"/>
      <c r="J148" s="468"/>
      <c r="K148" s="468"/>
      <c r="L148" s="468"/>
      <c r="M148" s="468"/>
      <c r="N148" s="468"/>
      <c r="O148" s="468"/>
      <c r="P148" s="468"/>
      <c r="Q148" s="468"/>
      <c r="R148" s="468"/>
      <c r="S148" s="468"/>
      <c r="T148" s="468"/>
      <c r="U148" s="468"/>
      <c r="V148" s="468"/>
      <c r="W148" s="468"/>
      <c r="X148" s="468"/>
      <c r="Y148" s="468"/>
      <c r="Z148" s="468"/>
    </row>
    <row r="149" spans="1:26" ht="15" customHeight="1">
      <c r="A149" s="468"/>
      <c r="B149" s="468"/>
      <c r="C149" s="468"/>
      <c r="D149" s="468"/>
      <c r="E149" s="468"/>
      <c r="F149" s="468"/>
      <c r="G149" s="468"/>
      <c r="H149" s="468"/>
      <c r="I149" s="468"/>
      <c r="J149" s="468"/>
      <c r="K149" s="468"/>
      <c r="L149" s="468"/>
      <c r="M149" s="468"/>
      <c r="N149" s="468"/>
      <c r="O149" s="468"/>
      <c r="P149" s="468"/>
      <c r="Q149" s="468"/>
      <c r="R149" s="468"/>
      <c r="S149" s="468"/>
      <c r="T149" s="468"/>
      <c r="U149" s="468"/>
      <c r="V149" s="468"/>
      <c r="W149" s="468"/>
      <c r="X149" s="468"/>
      <c r="Y149" s="468"/>
      <c r="Z149" s="468"/>
    </row>
    <row r="150" spans="1:26" ht="15" customHeight="1">
      <c r="A150" s="468"/>
      <c r="B150" s="468"/>
      <c r="C150" s="468"/>
      <c r="D150" s="468"/>
      <c r="E150" s="468"/>
      <c r="F150" s="468"/>
      <c r="G150" s="468"/>
      <c r="H150" s="468"/>
      <c r="I150" s="468"/>
      <c r="J150" s="468"/>
      <c r="K150" s="468"/>
      <c r="L150" s="468"/>
      <c r="M150" s="468"/>
      <c r="N150" s="468"/>
      <c r="O150" s="468"/>
      <c r="P150" s="468"/>
      <c r="Q150" s="468"/>
      <c r="R150" s="468"/>
      <c r="S150" s="468"/>
      <c r="T150" s="468"/>
      <c r="U150" s="468"/>
      <c r="V150" s="468"/>
      <c r="W150" s="468"/>
      <c r="X150" s="468"/>
      <c r="Y150" s="468"/>
      <c r="Z150" s="468"/>
    </row>
    <row r="151" spans="1:26" ht="15" customHeight="1">
      <c r="A151" s="468"/>
      <c r="B151" s="468"/>
      <c r="C151" s="468"/>
      <c r="D151" s="468"/>
      <c r="E151" s="468"/>
      <c r="F151" s="468"/>
      <c r="G151" s="468"/>
      <c r="H151" s="468"/>
      <c r="I151" s="468"/>
      <c r="J151" s="468"/>
      <c r="K151" s="468"/>
      <c r="L151" s="468"/>
      <c r="M151" s="468"/>
      <c r="N151" s="468"/>
      <c r="O151" s="468"/>
      <c r="P151" s="468"/>
      <c r="Q151" s="468"/>
      <c r="R151" s="468"/>
      <c r="S151" s="468"/>
      <c r="T151" s="468"/>
      <c r="U151" s="468"/>
      <c r="V151" s="468"/>
      <c r="W151" s="468"/>
      <c r="X151" s="468"/>
      <c r="Y151" s="468"/>
      <c r="Z151" s="468"/>
    </row>
    <row r="152" spans="1:26" ht="15" customHeight="1">
      <c r="A152" s="468"/>
      <c r="B152" s="468"/>
      <c r="C152" s="468"/>
      <c r="D152" s="468"/>
      <c r="E152" s="468"/>
      <c r="F152" s="468"/>
      <c r="G152" s="468"/>
      <c r="H152" s="468"/>
      <c r="I152" s="468"/>
      <c r="J152" s="468"/>
      <c r="K152" s="468"/>
      <c r="L152" s="468"/>
      <c r="M152" s="468"/>
      <c r="N152" s="468"/>
      <c r="O152" s="468"/>
      <c r="P152" s="468"/>
      <c r="Q152" s="468"/>
      <c r="R152" s="468"/>
      <c r="S152" s="468"/>
      <c r="T152" s="468"/>
      <c r="U152" s="468"/>
      <c r="V152" s="468"/>
      <c r="W152" s="468"/>
      <c r="X152" s="468"/>
      <c r="Y152" s="468"/>
      <c r="Z152" s="468"/>
    </row>
    <row r="153" spans="1:26" ht="15" customHeight="1">
      <c r="A153" s="468"/>
      <c r="B153" s="468"/>
      <c r="C153" s="468"/>
      <c r="D153" s="468"/>
      <c r="E153" s="468"/>
      <c r="F153" s="468"/>
      <c r="G153" s="468"/>
      <c r="H153" s="468"/>
      <c r="I153" s="468"/>
      <c r="J153" s="468"/>
      <c r="K153" s="468"/>
      <c r="L153" s="468"/>
      <c r="M153" s="468"/>
      <c r="N153" s="468"/>
      <c r="O153" s="468"/>
      <c r="P153" s="468"/>
      <c r="Q153" s="468"/>
      <c r="R153" s="468"/>
      <c r="S153" s="468"/>
      <c r="T153" s="468"/>
      <c r="U153" s="468"/>
      <c r="V153" s="468"/>
      <c r="W153" s="468"/>
      <c r="X153" s="468"/>
      <c r="Y153" s="468"/>
      <c r="Z153" s="468"/>
    </row>
    <row r="154" spans="1:26" ht="15" customHeight="1">
      <c r="A154" s="468"/>
      <c r="B154" s="468"/>
      <c r="C154" s="468"/>
      <c r="D154" s="468"/>
      <c r="E154" s="468"/>
      <c r="F154" s="468"/>
      <c r="G154" s="468"/>
      <c r="H154" s="468"/>
      <c r="I154" s="468"/>
      <c r="J154" s="468"/>
      <c r="K154" s="468"/>
      <c r="L154" s="468"/>
      <c r="M154" s="468"/>
      <c r="N154" s="468"/>
      <c r="O154" s="468"/>
      <c r="P154" s="468"/>
      <c r="Q154" s="468"/>
      <c r="R154" s="468"/>
      <c r="S154" s="468"/>
      <c r="T154" s="468"/>
      <c r="U154" s="468"/>
      <c r="V154" s="468"/>
      <c r="W154" s="468"/>
      <c r="X154" s="468"/>
      <c r="Y154" s="468"/>
      <c r="Z154" s="468"/>
    </row>
    <row r="155" spans="1:26" ht="15" customHeight="1">
      <c r="A155" s="468"/>
      <c r="B155" s="468"/>
      <c r="C155" s="468"/>
      <c r="D155" s="468"/>
      <c r="E155" s="468"/>
      <c r="F155" s="468"/>
      <c r="G155" s="468"/>
      <c r="H155" s="468"/>
      <c r="I155" s="468"/>
      <c r="J155" s="468"/>
      <c r="K155" s="468"/>
      <c r="L155" s="468"/>
      <c r="M155" s="468"/>
      <c r="N155" s="468"/>
      <c r="O155" s="468"/>
      <c r="P155" s="468"/>
      <c r="Q155" s="468"/>
      <c r="R155" s="468"/>
      <c r="S155" s="468"/>
      <c r="T155" s="468"/>
      <c r="U155" s="468"/>
      <c r="V155" s="468"/>
      <c r="W155" s="468"/>
      <c r="X155" s="468"/>
      <c r="Y155" s="468"/>
      <c r="Z155" s="468"/>
    </row>
    <row r="156" spans="1:26" ht="15" customHeight="1">
      <c r="A156" s="468"/>
      <c r="B156" s="468"/>
      <c r="C156" s="468"/>
      <c r="D156" s="468"/>
      <c r="E156" s="468"/>
      <c r="F156" s="468"/>
      <c r="G156" s="468"/>
      <c r="H156" s="468"/>
      <c r="I156" s="468"/>
      <c r="J156" s="468"/>
      <c r="K156" s="468"/>
      <c r="L156" s="468"/>
      <c r="M156" s="468"/>
      <c r="N156" s="468"/>
      <c r="O156" s="468"/>
      <c r="P156" s="468"/>
      <c r="Q156" s="468"/>
      <c r="R156" s="468"/>
      <c r="S156" s="468"/>
      <c r="T156" s="468"/>
      <c r="U156" s="468"/>
      <c r="V156" s="468"/>
      <c r="W156" s="468"/>
      <c r="X156" s="468"/>
      <c r="Y156" s="468"/>
      <c r="Z156" s="468"/>
    </row>
    <row r="157" spans="1:26" ht="15" customHeight="1">
      <c r="A157" s="468"/>
      <c r="B157" s="468"/>
      <c r="C157" s="468"/>
      <c r="D157" s="468"/>
      <c r="E157" s="468"/>
      <c r="F157" s="468"/>
      <c r="G157" s="468"/>
      <c r="H157" s="468"/>
      <c r="I157" s="468"/>
      <c r="J157" s="468"/>
      <c r="K157" s="468"/>
      <c r="L157" s="468"/>
      <c r="M157" s="468"/>
      <c r="N157" s="468"/>
      <c r="O157" s="468"/>
      <c r="P157" s="468"/>
      <c r="Q157" s="468"/>
      <c r="R157" s="468"/>
      <c r="S157" s="468"/>
      <c r="T157" s="468"/>
      <c r="U157" s="468"/>
      <c r="V157" s="468"/>
      <c r="W157" s="468"/>
      <c r="X157" s="468"/>
      <c r="Y157" s="468"/>
      <c r="Z157" s="468"/>
    </row>
    <row r="158" spans="1:26" ht="15" customHeight="1">
      <c r="A158" s="468"/>
      <c r="B158" s="468"/>
      <c r="C158" s="468"/>
      <c r="D158" s="468"/>
      <c r="E158" s="468"/>
      <c r="F158" s="468"/>
      <c r="G158" s="468"/>
      <c r="H158" s="468"/>
      <c r="I158" s="468"/>
      <c r="J158" s="468"/>
      <c r="K158" s="468"/>
      <c r="L158" s="468"/>
      <c r="M158" s="468"/>
      <c r="N158" s="468"/>
      <c r="O158" s="468"/>
      <c r="P158" s="468"/>
      <c r="Q158" s="468"/>
      <c r="R158" s="468"/>
      <c r="S158" s="468"/>
      <c r="T158" s="468"/>
      <c r="U158" s="468"/>
      <c r="V158" s="468"/>
      <c r="W158" s="468"/>
      <c r="X158" s="468"/>
      <c r="Y158" s="468"/>
      <c r="Z158" s="468"/>
    </row>
    <row r="159" spans="1:26" ht="15" customHeight="1">
      <c r="A159" s="468"/>
      <c r="B159" s="468"/>
      <c r="C159" s="468"/>
      <c r="D159" s="468"/>
      <c r="E159" s="468"/>
      <c r="F159" s="468"/>
      <c r="G159" s="468"/>
      <c r="H159" s="468"/>
      <c r="I159" s="468"/>
      <c r="J159" s="468"/>
      <c r="K159" s="468"/>
      <c r="L159" s="468"/>
      <c r="M159" s="468"/>
      <c r="N159" s="468"/>
      <c r="O159" s="468"/>
      <c r="P159" s="468"/>
      <c r="Q159" s="468"/>
      <c r="R159" s="468"/>
      <c r="S159" s="468"/>
      <c r="T159" s="468"/>
      <c r="U159" s="468"/>
      <c r="V159" s="468"/>
      <c r="W159" s="468"/>
      <c r="X159" s="468"/>
      <c r="Y159" s="468"/>
      <c r="Z159" s="468"/>
    </row>
    <row r="160" spans="1:26" ht="15" customHeight="1">
      <c r="A160" s="468"/>
      <c r="B160" s="468"/>
      <c r="C160" s="468"/>
      <c r="D160" s="468"/>
      <c r="E160" s="468"/>
      <c r="F160" s="468"/>
      <c r="G160" s="468"/>
      <c r="H160" s="468"/>
      <c r="I160" s="468"/>
      <c r="J160" s="468"/>
      <c r="K160" s="468"/>
      <c r="L160" s="468"/>
      <c r="M160" s="468"/>
      <c r="N160" s="468"/>
      <c r="O160" s="468"/>
      <c r="P160" s="468"/>
      <c r="Q160" s="468"/>
      <c r="R160" s="468"/>
      <c r="S160" s="468"/>
      <c r="T160" s="468"/>
      <c r="U160" s="468"/>
      <c r="V160" s="468"/>
      <c r="W160" s="468"/>
      <c r="X160" s="468"/>
      <c r="Y160" s="468"/>
      <c r="Z160" s="468"/>
    </row>
    <row r="161" spans="1:26" ht="15" customHeight="1">
      <c r="A161" s="468"/>
      <c r="B161" s="468"/>
      <c r="C161" s="468"/>
      <c r="D161" s="468"/>
      <c r="E161" s="468"/>
      <c r="F161" s="468"/>
      <c r="G161" s="468"/>
      <c r="H161" s="468"/>
      <c r="I161" s="468"/>
      <c r="J161" s="468"/>
      <c r="K161" s="468"/>
      <c r="L161" s="468"/>
      <c r="M161" s="468"/>
      <c r="N161" s="468"/>
      <c r="O161" s="468"/>
      <c r="P161" s="468"/>
      <c r="Q161" s="468"/>
      <c r="R161" s="468"/>
      <c r="S161" s="468"/>
      <c r="T161" s="468"/>
      <c r="U161" s="468"/>
      <c r="V161" s="468"/>
      <c r="W161" s="468"/>
      <c r="X161" s="468"/>
      <c r="Y161" s="468"/>
      <c r="Z161" s="468"/>
    </row>
    <row r="162" spans="1:26" ht="15" customHeight="1">
      <c r="A162" s="468"/>
      <c r="B162" s="468"/>
      <c r="C162" s="468"/>
      <c r="D162" s="468"/>
      <c r="E162" s="468"/>
      <c r="F162" s="468"/>
      <c r="G162" s="468"/>
      <c r="H162" s="468"/>
      <c r="I162" s="468"/>
      <c r="J162" s="468"/>
      <c r="K162" s="468"/>
      <c r="L162" s="468"/>
      <c r="M162" s="468"/>
      <c r="N162" s="468"/>
      <c r="O162" s="468"/>
      <c r="P162" s="468"/>
      <c r="Q162" s="468"/>
      <c r="R162" s="468"/>
      <c r="S162" s="468"/>
      <c r="T162" s="468"/>
      <c r="U162" s="468"/>
      <c r="V162" s="468"/>
      <c r="W162" s="468"/>
      <c r="X162" s="468"/>
      <c r="Y162" s="468"/>
      <c r="Z162" s="468"/>
    </row>
    <row r="163" spans="1:26" ht="15" customHeight="1">
      <c r="A163" s="468"/>
      <c r="B163" s="468"/>
      <c r="C163" s="468"/>
      <c r="D163" s="468"/>
      <c r="E163" s="468"/>
      <c r="F163" s="468"/>
      <c r="G163" s="468"/>
      <c r="H163" s="468"/>
      <c r="I163" s="468"/>
      <c r="J163" s="468"/>
      <c r="K163" s="468"/>
      <c r="L163" s="468"/>
      <c r="M163" s="468"/>
      <c r="N163" s="468"/>
      <c r="O163" s="468"/>
      <c r="P163" s="468"/>
      <c r="Q163" s="468"/>
      <c r="R163" s="468"/>
      <c r="S163" s="468"/>
      <c r="T163" s="468"/>
      <c r="U163" s="468"/>
      <c r="V163" s="468"/>
      <c r="W163" s="468"/>
      <c r="X163" s="468"/>
      <c r="Y163" s="468"/>
      <c r="Z163" s="468"/>
    </row>
    <row r="164" spans="1:26" ht="15" customHeight="1">
      <c r="A164" s="468"/>
      <c r="B164" s="468"/>
      <c r="C164" s="468"/>
      <c r="D164" s="468"/>
      <c r="E164" s="468"/>
      <c r="F164" s="468"/>
      <c r="G164" s="468"/>
      <c r="H164" s="468"/>
      <c r="I164" s="468"/>
      <c r="J164" s="468"/>
      <c r="K164" s="468"/>
      <c r="L164" s="468"/>
      <c r="M164" s="468"/>
      <c r="N164" s="468"/>
      <c r="O164" s="468"/>
      <c r="P164" s="468"/>
      <c r="Q164" s="468"/>
      <c r="R164" s="468"/>
      <c r="S164" s="468"/>
      <c r="T164" s="468"/>
      <c r="U164" s="468"/>
      <c r="V164" s="468"/>
      <c r="W164" s="468"/>
      <c r="X164" s="468"/>
      <c r="Y164" s="468"/>
      <c r="Z164" s="468"/>
    </row>
    <row r="165" spans="1:26" ht="15" customHeight="1">
      <c r="A165" s="468"/>
      <c r="B165" s="468"/>
      <c r="C165" s="468"/>
      <c r="D165" s="468"/>
      <c r="E165" s="468"/>
      <c r="F165" s="468"/>
      <c r="G165" s="468"/>
      <c r="H165" s="468"/>
      <c r="I165" s="468"/>
      <c r="J165" s="468"/>
      <c r="K165" s="468"/>
      <c r="L165" s="468"/>
      <c r="M165" s="468"/>
      <c r="N165" s="468"/>
      <c r="O165" s="468"/>
      <c r="P165" s="468"/>
      <c r="Q165" s="468"/>
      <c r="R165" s="468"/>
      <c r="S165" s="468"/>
      <c r="T165" s="468"/>
      <c r="U165" s="468"/>
      <c r="V165" s="468"/>
      <c r="W165" s="468"/>
      <c r="X165" s="468"/>
      <c r="Y165" s="468"/>
      <c r="Z165" s="468"/>
    </row>
    <row r="166" spans="1:26" ht="15" customHeight="1">
      <c r="A166" s="468"/>
      <c r="B166" s="468"/>
      <c r="C166" s="468"/>
      <c r="D166" s="468"/>
      <c r="E166" s="468"/>
      <c r="F166" s="468"/>
      <c r="G166" s="468"/>
      <c r="H166" s="468"/>
      <c r="I166" s="468"/>
      <c r="J166" s="468"/>
      <c r="K166" s="468"/>
      <c r="L166" s="468"/>
      <c r="M166" s="468"/>
      <c r="N166" s="468"/>
      <c r="O166" s="468"/>
      <c r="P166" s="468"/>
      <c r="Q166" s="468"/>
      <c r="R166" s="468"/>
      <c r="S166" s="468"/>
      <c r="T166" s="468"/>
      <c r="U166" s="468"/>
      <c r="V166" s="468"/>
      <c r="W166" s="468"/>
      <c r="X166" s="468"/>
      <c r="Y166" s="468"/>
      <c r="Z166" s="468"/>
    </row>
    <row r="167" spans="1:26" ht="15" customHeight="1">
      <c r="A167" s="468"/>
      <c r="B167" s="468"/>
      <c r="C167" s="468"/>
      <c r="D167" s="468"/>
      <c r="E167" s="468"/>
      <c r="F167" s="468"/>
      <c r="G167" s="468"/>
      <c r="H167" s="468"/>
      <c r="I167" s="468"/>
      <c r="J167" s="468"/>
      <c r="K167" s="468"/>
      <c r="L167" s="468"/>
      <c r="M167" s="468"/>
      <c r="N167" s="468"/>
      <c r="O167" s="468"/>
      <c r="P167" s="468"/>
      <c r="Q167" s="468"/>
      <c r="R167" s="468"/>
      <c r="S167" s="468"/>
      <c r="T167" s="468"/>
      <c r="U167" s="468"/>
      <c r="V167" s="468"/>
      <c r="W167" s="468"/>
      <c r="X167" s="468"/>
      <c r="Y167" s="468"/>
      <c r="Z167" s="468"/>
    </row>
    <row r="168" spans="1:26" ht="15" customHeight="1">
      <c r="A168" s="468"/>
      <c r="B168" s="468"/>
      <c r="C168" s="468"/>
      <c r="D168" s="468"/>
      <c r="E168" s="468"/>
      <c r="F168" s="468"/>
      <c r="G168" s="468"/>
      <c r="H168" s="468"/>
      <c r="I168" s="468"/>
      <c r="J168" s="468"/>
      <c r="K168" s="468"/>
      <c r="L168" s="468"/>
      <c r="M168" s="468"/>
      <c r="N168" s="468"/>
      <c r="O168" s="468"/>
      <c r="P168" s="468"/>
      <c r="Q168" s="468"/>
      <c r="R168" s="468"/>
      <c r="S168" s="468"/>
      <c r="T168" s="468"/>
      <c r="U168" s="468"/>
      <c r="V168" s="468"/>
      <c r="W168" s="468"/>
      <c r="X168" s="468"/>
      <c r="Y168" s="468"/>
      <c r="Z168" s="468"/>
    </row>
    <row r="169" spans="1:26" ht="15" customHeight="1">
      <c r="A169" s="468"/>
      <c r="B169" s="468"/>
      <c r="C169" s="468"/>
      <c r="D169" s="468"/>
      <c r="E169" s="468"/>
      <c r="F169" s="468"/>
      <c r="G169" s="468"/>
      <c r="H169" s="468"/>
      <c r="I169" s="468"/>
      <c r="J169" s="468"/>
      <c r="K169" s="468"/>
      <c r="L169" s="468"/>
      <c r="M169" s="468"/>
      <c r="N169" s="468"/>
      <c r="O169" s="468"/>
      <c r="P169" s="468"/>
      <c r="Q169" s="468"/>
      <c r="R169" s="468"/>
      <c r="S169" s="468"/>
      <c r="T169" s="468"/>
      <c r="U169" s="468"/>
      <c r="V169" s="468"/>
      <c r="W169" s="468"/>
      <c r="X169" s="468"/>
      <c r="Y169" s="468"/>
      <c r="Z169" s="468"/>
    </row>
    <row r="170" spans="1:26" ht="15" customHeight="1">
      <c r="A170" s="468"/>
      <c r="B170" s="468"/>
      <c r="C170" s="468"/>
      <c r="D170" s="468"/>
      <c r="E170" s="468"/>
      <c r="F170" s="468"/>
      <c r="G170" s="468"/>
      <c r="H170" s="468"/>
      <c r="I170" s="468"/>
      <c r="J170" s="468"/>
      <c r="K170" s="468"/>
      <c r="L170" s="468"/>
      <c r="M170" s="468"/>
      <c r="N170" s="468"/>
      <c r="O170" s="468"/>
      <c r="P170" s="468"/>
      <c r="Q170" s="468"/>
      <c r="R170" s="468"/>
      <c r="S170" s="468"/>
      <c r="T170" s="468"/>
      <c r="U170" s="468"/>
      <c r="V170" s="468"/>
      <c r="W170" s="468"/>
      <c r="X170" s="468"/>
      <c r="Y170" s="468"/>
      <c r="Z170" s="468"/>
    </row>
    <row r="171" spans="1:26" ht="15" customHeight="1">
      <c r="A171" s="468"/>
      <c r="B171" s="468"/>
      <c r="C171" s="468"/>
      <c r="D171" s="468"/>
      <c r="E171" s="468"/>
      <c r="F171" s="468"/>
      <c r="G171" s="468"/>
      <c r="H171" s="468"/>
      <c r="I171" s="468"/>
      <c r="J171" s="468"/>
      <c r="K171" s="468"/>
      <c r="L171" s="468"/>
      <c r="M171" s="468"/>
      <c r="N171" s="468"/>
      <c r="O171" s="468"/>
      <c r="P171" s="468"/>
      <c r="Q171" s="468"/>
      <c r="R171" s="468"/>
      <c r="S171" s="468"/>
      <c r="T171" s="468"/>
      <c r="U171" s="468"/>
      <c r="V171" s="468"/>
      <c r="W171" s="468"/>
      <c r="X171" s="468"/>
      <c r="Y171" s="468"/>
      <c r="Z171" s="468"/>
    </row>
    <row r="172" spans="1:26" ht="15" customHeight="1">
      <c r="A172" s="468"/>
      <c r="B172" s="468"/>
      <c r="C172" s="468"/>
      <c r="D172" s="468"/>
      <c r="E172" s="468"/>
      <c r="F172" s="468"/>
      <c r="G172" s="468"/>
      <c r="H172" s="468"/>
      <c r="I172" s="468"/>
      <c r="J172" s="468"/>
      <c r="K172" s="468"/>
      <c r="L172" s="468"/>
      <c r="M172" s="468"/>
      <c r="N172" s="468"/>
      <c r="O172" s="468"/>
      <c r="P172" s="468"/>
      <c r="Q172" s="468"/>
      <c r="R172" s="468"/>
      <c r="S172" s="468"/>
      <c r="T172" s="468"/>
      <c r="U172" s="468"/>
      <c r="V172" s="468"/>
      <c r="W172" s="468"/>
      <c r="X172" s="468"/>
      <c r="Y172" s="468"/>
      <c r="Z172" s="468"/>
    </row>
    <row r="173" spans="1:26" ht="15" customHeight="1">
      <c r="A173" s="468"/>
      <c r="B173" s="468"/>
      <c r="C173" s="468"/>
      <c r="D173" s="468"/>
      <c r="E173" s="468"/>
      <c r="F173" s="468"/>
      <c r="G173" s="468"/>
      <c r="H173" s="468"/>
      <c r="I173" s="468"/>
      <c r="J173" s="468"/>
      <c r="K173" s="468"/>
      <c r="L173" s="468"/>
      <c r="M173" s="468"/>
      <c r="N173" s="468"/>
      <c r="O173" s="468"/>
      <c r="P173" s="468"/>
      <c r="Q173" s="468"/>
      <c r="R173" s="468"/>
      <c r="S173" s="468"/>
      <c r="T173" s="468"/>
      <c r="U173" s="468"/>
      <c r="V173" s="468"/>
      <c r="W173" s="468"/>
      <c r="X173" s="468"/>
      <c r="Y173" s="468"/>
      <c r="Z173" s="468"/>
    </row>
    <row r="174" spans="1:26" ht="15" customHeight="1">
      <c r="A174" s="468"/>
      <c r="B174" s="468"/>
      <c r="C174" s="468"/>
      <c r="D174" s="468"/>
      <c r="E174" s="468"/>
      <c r="F174" s="468"/>
      <c r="G174" s="468"/>
      <c r="H174" s="468"/>
      <c r="I174" s="468"/>
      <c r="J174" s="468"/>
      <c r="K174" s="468"/>
      <c r="L174" s="468"/>
      <c r="M174" s="468"/>
      <c r="N174" s="468"/>
      <c r="O174" s="468"/>
      <c r="P174" s="468"/>
      <c r="Q174" s="468"/>
      <c r="R174" s="468"/>
      <c r="S174" s="468"/>
      <c r="T174" s="468"/>
      <c r="U174" s="468"/>
      <c r="V174" s="468"/>
      <c r="W174" s="468"/>
      <c r="X174" s="468"/>
      <c r="Y174" s="468"/>
      <c r="Z174" s="468"/>
    </row>
    <row r="175" spans="1:26" ht="15" customHeight="1">
      <c r="A175" s="468"/>
      <c r="B175" s="468"/>
      <c r="C175" s="468"/>
      <c r="D175" s="468"/>
      <c r="E175" s="468"/>
      <c r="F175" s="468"/>
      <c r="G175" s="468"/>
      <c r="H175" s="468"/>
      <c r="I175" s="468"/>
      <c r="J175" s="468"/>
      <c r="K175" s="468"/>
      <c r="L175" s="468"/>
      <c r="M175" s="468"/>
      <c r="N175" s="468"/>
      <c r="O175" s="468"/>
      <c r="P175" s="468"/>
      <c r="Q175" s="468"/>
      <c r="R175" s="468"/>
      <c r="S175" s="468"/>
      <c r="T175" s="468"/>
      <c r="U175" s="468"/>
      <c r="V175" s="468"/>
      <c r="W175" s="468"/>
      <c r="X175" s="468"/>
      <c r="Y175" s="468"/>
      <c r="Z175" s="468"/>
    </row>
    <row r="176" spans="1:26" ht="15" customHeight="1">
      <c r="A176" s="468"/>
      <c r="B176" s="468"/>
      <c r="C176" s="468"/>
      <c r="D176" s="468"/>
      <c r="E176" s="468"/>
      <c r="F176" s="468"/>
      <c r="G176" s="468"/>
      <c r="H176" s="468"/>
      <c r="I176" s="468"/>
      <c r="J176" s="468"/>
      <c r="K176" s="468"/>
      <c r="L176" s="468"/>
      <c r="M176" s="468"/>
      <c r="N176" s="468"/>
      <c r="O176" s="468"/>
      <c r="P176" s="468"/>
      <c r="Q176" s="468"/>
      <c r="R176" s="468"/>
      <c r="S176" s="468"/>
      <c r="T176" s="468"/>
      <c r="U176" s="468"/>
      <c r="V176" s="468"/>
      <c r="W176" s="468"/>
      <c r="X176" s="468"/>
      <c r="Y176" s="468"/>
      <c r="Z176" s="468"/>
    </row>
    <row r="177" spans="1:26" ht="15" customHeight="1">
      <c r="A177" s="468"/>
      <c r="B177" s="468"/>
      <c r="C177" s="468"/>
      <c r="D177" s="468"/>
      <c r="E177" s="468"/>
      <c r="F177" s="468"/>
      <c r="G177" s="468"/>
      <c r="H177" s="468"/>
      <c r="I177" s="468"/>
      <c r="J177" s="468"/>
      <c r="K177" s="468"/>
      <c r="L177" s="468"/>
      <c r="M177" s="468"/>
      <c r="N177" s="468"/>
      <c r="O177" s="468"/>
      <c r="P177" s="468"/>
      <c r="Q177" s="468"/>
      <c r="R177" s="468"/>
      <c r="S177" s="468"/>
      <c r="T177" s="468"/>
      <c r="U177" s="468"/>
      <c r="V177" s="468"/>
      <c r="W177" s="468"/>
      <c r="X177" s="468"/>
      <c r="Y177" s="468"/>
      <c r="Z177" s="468"/>
    </row>
    <row r="178" spans="1:26" ht="15" customHeight="1">
      <c r="A178" s="468"/>
      <c r="B178" s="468"/>
      <c r="C178" s="468"/>
      <c r="D178" s="468"/>
      <c r="E178" s="468"/>
      <c r="F178" s="468"/>
      <c r="G178" s="468"/>
      <c r="H178" s="468"/>
      <c r="I178" s="468"/>
      <c r="J178" s="468"/>
      <c r="K178" s="468"/>
      <c r="L178" s="468"/>
      <c r="M178" s="468"/>
      <c r="N178" s="468"/>
      <c r="O178" s="468"/>
      <c r="P178" s="468"/>
      <c r="Q178" s="468"/>
      <c r="R178" s="468"/>
      <c r="S178" s="468"/>
      <c r="T178" s="468"/>
      <c r="U178" s="468"/>
      <c r="V178" s="468"/>
      <c r="W178" s="468"/>
      <c r="X178" s="468"/>
      <c r="Y178" s="468"/>
      <c r="Z178" s="468"/>
    </row>
    <row r="179" spans="1:26" ht="15" customHeight="1">
      <c r="A179" s="468"/>
      <c r="B179" s="468"/>
      <c r="C179" s="468"/>
      <c r="D179" s="468"/>
      <c r="E179" s="468"/>
      <c r="F179" s="468"/>
      <c r="G179" s="468"/>
      <c r="H179" s="468"/>
      <c r="I179" s="468"/>
      <c r="J179" s="468"/>
      <c r="K179" s="468"/>
      <c r="L179" s="468"/>
      <c r="M179" s="468"/>
      <c r="N179" s="468"/>
      <c r="O179" s="468"/>
      <c r="P179" s="468"/>
      <c r="Q179" s="468"/>
      <c r="R179" s="468"/>
      <c r="S179" s="468"/>
      <c r="T179" s="468"/>
      <c r="U179" s="468"/>
      <c r="V179" s="468"/>
      <c r="W179" s="468"/>
      <c r="X179" s="468"/>
      <c r="Y179" s="468"/>
      <c r="Z179" s="468"/>
    </row>
    <row r="180" spans="1:26" ht="15" customHeight="1">
      <c r="A180" s="468"/>
      <c r="B180" s="468"/>
      <c r="C180" s="468"/>
      <c r="D180" s="468"/>
      <c r="E180" s="468"/>
      <c r="F180" s="468"/>
      <c r="G180" s="468"/>
      <c r="H180" s="468"/>
      <c r="I180" s="468"/>
      <c r="J180" s="468"/>
      <c r="K180" s="468"/>
      <c r="L180" s="468"/>
      <c r="M180" s="468"/>
      <c r="N180" s="468"/>
      <c r="O180" s="468"/>
      <c r="P180" s="468"/>
      <c r="Q180" s="468"/>
      <c r="R180" s="468"/>
      <c r="S180" s="468"/>
      <c r="T180" s="468"/>
      <c r="U180" s="468"/>
      <c r="V180" s="468"/>
      <c r="W180" s="468"/>
      <c r="X180" s="468"/>
      <c r="Y180" s="468"/>
      <c r="Z180" s="468"/>
    </row>
    <row r="181" spans="1:26" ht="15" customHeight="1">
      <c r="A181" s="468"/>
      <c r="B181" s="468"/>
      <c r="C181" s="468"/>
      <c r="D181" s="468"/>
      <c r="E181" s="468"/>
      <c r="F181" s="468"/>
      <c r="G181" s="468"/>
      <c r="H181" s="468"/>
      <c r="I181" s="468"/>
      <c r="J181" s="468"/>
      <c r="K181" s="468"/>
      <c r="L181" s="468"/>
      <c r="M181" s="468"/>
      <c r="N181" s="468"/>
      <c r="O181" s="468"/>
      <c r="P181" s="468"/>
      <c r="Q181" s="468"/>
      <c r="R181" s="468"/>
      <c r="S181" s="468"/>
      <c r="T181" s="468"/>
      <c r="U181" s="468"/>
      <c r="V181" s="468"/>
      <c r="W181" s="468"/>
      <c r="X181" s="468"/>
      <c r="Y181" s="468"/>
      <c r="Z181" s="468"/>
    </row>
    <row r="182" spans="1:26" ht="15" customHeight="1">
      <c r="A182" s="468"/>
      <c r="B182" s="468"/>
      <c r="C182" s="468"/>
      <c r="D182" s="468"/>
      <c r="E182" s="468"/>
      <c r="F182" s="468"/>
      <c r="G182" s="468"/>
      <c r="H182" s="468"/>
      <c r="I182" s="468"/>
      <c r="J182" s="468"/>
      <c r="K182" s="468"/>
      <c r="L182" s="468"/>
      <c r="M182" s="468"/>
      <c r="N182" s="468"/>
      <c r="O182" s="468"/>
      <c r="P182" s="468"/>
      <c r="Q182" s="468"/>
      <c r="R182" s="468"/>
      <c r="S182" s="468"/>
      <c r="T182" s="468"/>
      <c r="U182" s="468"/>
      <c r="V182" s="468"/>
      <c r="W182" s="468"/>
      <c r="X182" s="468"/>
      <c r="Y182" s="468"/>
      <c r="Z182" s="468"/>
    </row>
    <row r="183" spans="1:26" ht="15" customHeight="1">
      <c r="A183" s="468"/>
      <c r="B183" s="468"/>
      <c r="C183" s="468"/>
      <c r="D183" s="468"/>
      <c r="E183" s="468"/>
      <c r="F183" s="468"/>
      <c r="G183" s="468"/>
      <c r="H183" s="468"/>
      <c r="I183" s="468"/>
      <c r="J183" s="468"/>
      <c r="K183" s="468"/>
      <c r="L183" s="468"/>
      <c r="M183" s="468"/>
      <c r="N183" s="468"/>
      <c r="O183" s="468"/>
      <c r="P183" s="468"/>
      <c r="Q183" s="468"/>
      <c r="R183" s="468"/>
      <c r="S183" s="468"/>
      <c r="T183" s="468"/>
      <c r="U183" s="468"/>
      <c r="V183" s="468"/>
      <c r="W183" s="468"/>
      <c r="X183" s="468"/>
      <c r="Y183" s="468"/>
      <c r="Z183" s="468"/>
    </row>
    <row r="184" spans="1:26" ht="15" customHeight="1">
      <c r="A184" s="468"/>
      <c r="B184" s="468"/>
      <c r="C184" s="468"/>
      <c r="D184" s="468"/>
      <c r="E184" s="468"/>
      <c r="F184" s="468"/>
      <c r="G184" s="468"/>
      <c r="H184" s="468"/>
      <c r="I184" s="468"/>
      <c r="J184" s="468"/>
      <c r="K184" s="468"/>
      <c r="L184" s="468"/>
      <c r="M184" s="468"/>
      <c r="N184" s="468"/>
      <c r="O184" s="468"/>
      <c r="P184" s="468"/>
      <c r="Q184" s="468"/>
      <c r="R184" s="468"/>
      <c r="S184" s="468"/>
      <c r="T184" s="468"/>
      <c r="U184" s="468"/>
      <c r="V184" s="468"/>
      <c r="W184" s="468"/>
      <c r="X184" s="468"/>
      <c r="Y184" s="468"/>
      <c r="Z184" s="468"/>
    </row>
    <row r="185" spans="1:26" ht="15" customHeight="1">
      <c r="A185" s="468"/>
      <c r="B185" s="468"/>
      <c r="C185" s="468"/>
      <c r="D185" s="468"/>
      <c r="E185" s="468"/>
      <c r="F185" s="468"/>
      <c r="G185" s="468"/>
      <c r="H185" s="468"/>
      <c r="I185" s="468"/>
      <c r="J185" s="468"/>
      <c r="K185" s="468"/>
      <c r="L185" s="468"/>
      <c r="M185" s="468"/>
      <c r="N185" s="468"/>
      <c r="O185" s="468"/>
      <c r="P185" s="468"/>
      <c r="Q185" s="468"/>
      <c r="R185" s="468"/>
      <c r="S185" s="468"/>
      <c r="T185" s="468"/>
      <c r="U185" s="468"/>
      <c r="V185" s="468"/>
      <c r="W185" s="468"/>
      <c r="X185" s="468"/>
      <c r="Y185" s="468"/>
      <c r="Z185" s="468"/>
    </row>
    <row r="186" spans="1:26" ht="15" customHeight="1">
      <c r="A186" s="468"/>
      <c r="B186" s="468"/>
      <c r="C186" s="468"/>
      <c r="D186" s="468"/>
      <c r="E186" s="468"/>
      <c r="F186" s="468"/>
      <c r="G186" s="468"/>
      <c r="H186" s="468"/>
      <c r="I186" s="468"/>
      <c r="J186" s="468"/>
      <c r="K186" s="468"/>
      <c r="L186" s="468"/>
      <c r="M186" s="468"/>
      <c r="N186" s="468"/>
      <c r="O186" s="468"/>
      <c r="P186" s="468"/>
      <c r="Q186" s="468"/>
      <c r="R186" s="468"/>
      <c r="S186" s="468"/>
      <c r="T186" s="468"/>
      <c r="U186" s="468"/>
      <c r="V186" s="468"/>
      <c r="W186" s="468"/>
      <c r="X186" s="468"/>
      <c r="Y186" s="468"/>
      <c r="Z186" s="468"/>
    </row>
    <row r="187" spans="1:26" ht="15" customHeight="1">
      <c r="A187" s="468"/>
      <c r="B187" s="468"/>
      <c r="C187" s="468"/>
      <c r="D187" s="468"/>
      <c r="E187" s="468"/>
      <c r="F187" s="468"/>
      <c r="G187" s="468"/>
      <c r="H187" s="468"/>
      <c r="I187" s="468"/>
      <c r="J187" s="468"/>
      <c r="K187" s="468"/>
      <c r="L187" s="468"/>
      <c r="M187" s="468"/>
      <c r="N187" s="468"/>
      <c r="O187" s="468"/>
      <c r="P187" s="468"/>
      <c r="Q187" s="468"/>
      <c r="R187" s="468"/>
      <c r="S187" s="468"/>
      <c r="T187" s="468"/>
      <c r="U187" s="468"/>
      <c r="V187" s="468"/>
      <c r="W187" s="468"/>
      <c r="X187" s="468"/>
      <c r="Y187" s="468"/>
      <c r="Z187" s="468"/>
    </row>
    <row r="188" spans="1:26" ht="15" customHeight="1">
      <c r="A188" s="468"/>
      <c r="B188" s="468"/>
      <c r="C188" s="468"/>
      <c r="D188" s="468"/>
      <c r="E188" s="468"/>
      <c r="F188" s="468"/>
      <c r="G188" s="468"/>
      <c r="H188" s="468"/>
      <c r="I188" s="468"/>
      <c r="J188" s="468"/>
      <c r="K188" s="468"/>
      <c r="L188" s="468"/>
      <c r="M188" s="468"/>
      <c r="N188" s="468"/>
      <c r="O188" s="468"/>
      <c r="P188" s="468"/>
      <c r="Q188" s="468"/>
      <c r="R188" s="468"/>
      <c r="S188" s="468"/>
      <c r="T188" s="468"/>
      <c r="U188" s="468"/>
      <c r="V188" s="468"/>
      <c r="W188" s="468"/>
      <c r="X188" s="468"/>
      <c r="Y188" s="468"/>
      <c r="Z188" s="468"/>
    </row>
    <row r="189" spans="1:26" ht="15" customHeight="1">
      <c r="A189" s="468"/>
      <c r="B189" s="468"/>
      <c r="C189" s="468"/>
      <c r="D189" s="468"/>
      <c r="E189" s="468"/>
      <c r="F189" s="468"/>
      <c r="G189" s="468"/>
      <c r="H189" s="468"/>
      <c r="I189" s="468"/>
      <c r="J189" s="468"/>
      <c r="K189" s="468"/>
      <c r="L189" s="468"/>
      <c r="M189" s="468"/>
      <c r="N189" s="468"/>
      <c r="O189" s="468"/>
      <c r="P189" s="468"/>
      <c r="Q189" s="468"/>
      <c r="R189" s="468"/>
      <c r="S189" s="468"/>
      <c r="T189" s="468"/>
      <c r="U189" s="468"/>
      <c r="V189" s="468"/>
      <c r="W189" s="468"/>
      <c r="X189" s="468"/>
      <c r="Y189" s="468"/>
      <c r="Z189" s="468"/>
    </row>
    <row r="190" spans="1:26" ht="15" customHeight="1">
      <c r="A190" s="468"/>
      <c r="B190" s="468"/>
      <c r="C190" s="468"/>
      <c r="D190" s="468"/>
      <c r="E190" s="468"/>
      <c r="F190" s="468"/>
      <c r="G190" s="468"/>
      <c r="H190" s="468"/>
      <c r="I190" s="468"/>
      <c r="J190" s="468"/>
      <c r="K190" s="468"/>
      <c r="L190" s="468"/>
      <c r="M190" s="468"/>
      <c r="N190" s="468"/>
      <c r="O190" s="468"/>
      <c r="P190" s="468"/>
      <c r="Q190" s="468"/>
      <c r="R190" s="468"/>
      <c r="S190" s="468"/>
      <c r="T190" s="468"/>
      <c r="U190" s="468"/>
      <c r="V190" s="468"/>
      <c r="W190" s="468"/>
      <c r="X190" s="468"/>
      <c r="Y190" s="468"/>
      <c r="Z190" s="468"/>
    </row>
    <row r="191" spans="1:26" ht="15" customHeight="1">
      <c r="A191" s="468"/>
      <c r="B191" s="468"/>
      <c r="C191" s="468"/>
      <c r="D191" s="468"/>
      <c r="E191" s="468"/>
      <c r="F191" s="468"/>
      <c r="G191" s="468"/>
      <c r="H191" s="468"/>
      <c r="I191" s="468"/>
      <c r="J191" s="468"/>
      <c r="K191" s="468"/>
      <c r="L191" s="468"/>
      <c r="M191" s="468"/>
      <c r="N191" s="468"/>
      <c r="O191" s="468"/>
      <c r="P191" s="468"/>
      <c r="Q191" s="468"/>
      <c r="R191" s="468"/>
      <c r="S191" s="468"/>
      <c r="T191" s="468"/>
      <c r="U191" s="468"/>
      <c r="V191" s="468"/>
      <c r="W191" s="468"/>
      <c r="X191" s="468"/>
      <c r="Y191" s="468"/>
      <c r="Z191" s="468"/>
    </row>
    <row r="192" spans="1:26" ht="15" customHeight="1">
      <c r="A192" s="468"/>
      <c r="B192" s="468"/>
      <c r="C192" s="468"/>
      <c r="D192" s="468"/>
      <c r="E192" s="468"/>
      <c r="F192" s="468"/>
      <c r="G192" s="468"/>
      <c r="H192" s="468"/>
      <c r="I192" s="468"/>
      <c r="J192" s="468"/>
      <c r="K192" s="468"/>
      <c r="L192" s="468"/>
      <c r="M192" s="468"/>
      <c r="N192" s="468"/>
      <c r="O192" s="468"/>
      <c r="P192" s="468"/>
      <c r="Q192" s="468"/>
      <c r="R192" s="468"/>
      <c r="S192" s="468"/>
      <c r="T192" s="468"/>
      <c r="U192" s="468"/>
      <c r="V192" s="468"/>
      <c r="W192" s="468"/>
      <c r="X192" s="468"/>
      <c r="Y192" s="468"/>
      <c r="Z192" s="468"/>
    </row>
    <row r="193" spans="1:26" ht="15" customHeight="1">
      <c r="A193" s="468"/>
      <c r="B193" s="468"/>
      <c r="C193" s="468"/>
      <c r="D193" s="468"/>
      <c r="E193" s="468"/>
      <c r="F193" s="468"/>
      <c r="G193" s="468"/>
      <c r="H193" s="468"/>
      <c r="I193" s="468"/>
      <c r="J193" s="468"/>
      <c r="K193" s="468"/>
      <c r="L193" s="468"/>
      <c r="M193" s="468"/>
      <c r="N193" s="468"/>
      <c r="O193" s="468"/>
      <c r="P193" s="468"/>
      <c r="Q193" s="468"/>
      <c r="R193" s="468"/>
      <c r="S193" s="468"/>
      <c r="T193" s="468"/>
      <c r="U193" s="468"/>
      <c r="V193" s="468"/>
      <c r="W193" s="468"/>
      <c r="X193" s="468"/>
      <c r="Y193" s="468"/>
      <c r="Z193" s="468"/>
    </row>
    <row r="194" spans="1:26" ht="15" customHeight="1">
      <c r="A194" s="468"/>
      <c r="B194" s="468"/>
      <c r="C194" s="468"/>
      <c r="D194" s="468"/>
      <c r="E194" s="468"/>
      <c r="F194" s="468"/>
      <c r="G194" s="468"/>
      <c r="H194" s="468"/>
      <c r="I194" s="468"/>
      <c r="J194" s="468"/>
      <c r="K194" s="468"/>
      <c r="L194" s="468"/>
      <c r="M194" s="468"/>
      <c r="N194" s="468"/>
      <c r="O194" s="468"/>
      <c r="P194" s="468"/>
      <c r="Q194" s="468"/>
      <c r="R194" s="468"/>
      <c r="S194" s="468"/>
      <c r="T194" s="468"/>
      <c r="U194" s="468"/>
      <c r="V194" s="468"/>
      <c r="W194" s="468"/>
      <c r="X194" s="468"/>
      <c r="Y194" s="468"/>
      <c r="Z194" s="468"/>
    </row>
    <row r="195" spans="1:26" ht="15" customHeight="1">
      <c r="A195" s="468"/>
      <c r="B195" s="468"/>
      <c r="C195" s="468"/>
      <c r="D195" s="468"/>
      <c r="E195" s="468"/>
      <c r="F195" s="468"/>
      <c r="G195" s="468"/>
      <c r="H195" s="468"/>
      <c r="I195" s="468"/>
      <c r="J195" s="468"/>
      <c r="K195" s="468"/>
      <c r="L195" s="468"/>
      <c r="M195" s="468"/>
      <c r="N195" s="468"/>
      <c r="O195" s="468"/>
      <c r="P195" s="468"/>
      <c r="Q195" s="468"/>
      <c r="R195" s="468"/>
      <c r="S195" s="468"/>
      <c r="T195" s="468"/>
      <c r="U195" s="468"/>
      <c r="V195" s="468"/>
      <c r="W195" s="468"/>
      <c r="X195" s="468"/>
      <c r="Y195" s="468"/>
      <c r="Z195" s="468"/>
    </row>
    <row r="196" spans="1:26" ht="15" customHeight="1">
      <c r="A196" s="468"/>
      <c r="B196" s="468"/>
      <c r="C196" s="468"/>
      <c r="D196" s="468"/>
      <c r="E196" s="468"/>
      <c r="F196" s="468"/>
      <c r="G196" s="468"/>
      <c r="H196" s="468"/>
      <c r="I196" s="468"/>
      <c r="J196" s="468"/>
      <c r="K196" s="468"/>
      <c r="L196" s="468"/>
      <c r="M196" s="468"/>
      <c r="N196" s="468"/>
      <c r="O196" s="468"/>
      <c r="P196" s="468"/>
      <c r="Q196" s="468"/>
      <c r="R196" s="468"/>
      <c r="S196" s="468"/>
      <c r="T196" s="468"/>
      <c r="U196" s="468"/>
      <c r="V196" s="468"/>
      <c r="W196" s="468"/>
      <c r="X196" s="468"/>
      <c r="Y196" s="468"/>
      <c r="Z196" s="468"/>
    </row>
    <row r="197" spans="1:26" ht="15" customHeight="1">
      <c r="A197" s="468"/>
      <c r="B197" s="468"/>
      <c r="C197" s="468"/>
      <c r="D197" s="468"/>
      <c r="E197" s="468"/>
      <c r="F197" s="468"/>
      <c r="G197" s="468"/>
      <c r="H197" s="468"/>
      <c r="I197" s="468"/>
      <c r="J197" s="468"/>
      <c r="K197" s="468"/>
      <c r="L197" s="468"/>
      <c r="M197" s="468"/>
      <c r="N197" s="468"/>
      <c r="O197" s="468"/>
      <c r="P197" s="468"/>
      <c r="Q197" s="468"/>
      <c r="R197" s="468"/>
      <c r="S197" s="468"/>
      <c r="T197" s="468"/>
      <c r="U197" s="468"/>
      <c r="V197" s="468"/>
      <c r="W197" s="468"/>
      <c r="X197" s="468"/>
      <c r="Y197" s="468"/>
      <c r="Z197" s="468"/>
    </row>
    <row r="198" spans="1:26" ht="15" customHeight="1">
      <c r="A198" s="468"/>
      <c r="B198" s="468"/>
      <c r="C198" s="468"/>
      <c r="D198" s="468"/>
      <c r="E198" s="468"/>
      <c r="F198" s="468"/>
      <c r="G198" s="468"/>
      <c r="H198" s="468"/>
      <c r="I198" s="468"/>
      <c r="J198" s="468"/>
      <c r="K198" s="468"/>
      <c r="L198" s="468"/>
      <c r="M198" s="468"/>
      <c r="N198" s="468"/>
      <c r="O198" s="468"/>
      <c r="P198" s="468"/>
      <c r="Q198" s="468"/>
      <c r="R198" s="468"/>
      <c r="S198" s="468"/>
      <c r="T198" s="468"/>
      <c r="U198" s="468"/>
      <c r="V198" s="468"/>
      <c r="W198" s="468"/>
      <c r="X198" s="468"/>
      <c r="Y198" s="468"/>
      <c r="Z198" s="468"/>
    </row>
    <row r="199" spans="1:26" ht="15" customHeight="1">
      <c r="A199" s="468"/>
      <c r="B199" s="468"/>
      <c r="C199" s="468"/>
      <c r="D199" s="468"/>
      <c r="E199" s="468"/>
      <c r="F199" s="468"/>
      <c r="G199" s="468"/>
      <c r="H199" s="468"/>
      <c r="I199" s="468"/>
      <c r="J199" s="468"/>
      <c r="K199" s="468"/>
      <c r="L199" s="468"/>
      <c r="M199" s="468"/>
      <c r="N199" s="468"/>
      <c r="O199" s="468"/>
      <c r="P199" s="468"/>
      <c r="Q199" s="468"/>
      <c r="R199" s="468"/>
      <c r="S199" s="468"/>
      <c r="T199" s="468"/>
      <c r="U199" s="468"/>
      <c r="V199" s="468"/>
      <c r="W199" s="468"/>
      <c r="X199" s="468"/>
      <c r="Y199" s="468"/>
      <c r="Z199" s="468"/>
    </row>
    <row r="200" spans="1:26" ht="15" customHeight="1">
      <c r="A200" s="468"/>
      <c r="B200" s="468"/>
      <c r="C200" s="468"/>
      <c r="D200" s="468"/>
      <c r="E200" s="468"/>
      <c r="F200" s="468"/>
      <c r="G200" s="468"/>
      <c r="H200" s="468"/>
      <c r="I200" s="468"/>
      <c r="J200" s="468"/>
      <c r="K200" s="468"/>
      <c r="L200" s="468"/>
      <c r="M200" s="468"/>
      <c r="N200" s="468"/>
      <c r="O200" s="468"/>
      <c r="P200" s="468"/>
      <c r="Q200" s="468"/>
      <c r="R200" s="468"/>
      <c r="S200" s="468"/>
      <c r="T200" s="468"/>
      <c r="U200" s="468"/>
      <c r="V200" s="468"/>
      <c r="W200" s="468"/>
      <c r="X200" s="468"/>
      <c r="Y200" s="468"/>
      <c r="Z200" s="468"/>
    </row>
  </sheetData>
  <mergeCells count="10">
    <mergeCell ref="B34:G34"/>
    <mergeCell ref="B70:G70"/>
    <mergeCell ref="A81:G81"/>
    <mergeCell ref="B73:G73"/>
    <mergeCell ref="B9:G9"/>
    <mergeCell ref="B12:G12"/>
    <mergeCell ref="A1:G1"/>
    <mergeCell ref="A2:G2"/>
    <mergeCell ref="B6:G6"/>
    <mergeCell ref="A3:G3"/>
  </mergeCells>
  <conditionalFormatting sqref="F23:F31">
    <cfRule type="containsText" dxfId="6" priority="1" operator="containsText" text="Audit Ready">
      <formula>NOT(ISERROR(SEARCH("Audit Ready",F23)))</formula>
    </cfRule>
  </conditionalFormatting>
  <conditionalFormatting sqref="F23:F31">
    <cfRule type="containsText" dxfId="5" priority="2" operator="containsText" text="Ready (minor">
      <formula>NOT(ISERROR(SEARCH("Ready (minor",F23)))</formula>
    </cfRule>
  </conditionalFormatting>
  <conditionalFormatting sqref="F23:F31">
    <cfRule type="containsText" dxfId="4" priority="3" operator="containsText" text="Major NC">
      <formula>NOT(ISERROR(SEARCH("Major NC",F23)))</formula>
    </cfRule>
  </conditionalFormatting>
  <conditionalFormatting sqref="F23:F31">
    <cfRule type="containsText" dxfId="3" priority="4" operator="containsText" text="Audit Ready">
      <formula>NOT(ISERROR(SEARCH("Audit Ready",F23)))</formula>
    </cfRule>
  </conditionalFormatting>
  <conditionalFormatting sqref="F23:F31">
    <cfRule type="containsText" dxfId="2" priority="5" operator="containsText" text="Major NC">
      <formula>NOT(ISERROR(SEARCH("Major NC",F23)))</formula>
    </cfRule>
  </conditionalFormatting>
  <conditionalFormatting sqref="F38:F49">
    <cfRule type="cellIs" dxfId="1" priority="6" operator="equal">
      <formula>"In Progress"</formula>
    </cfRule>
  </conditionalFormatting>
  <conditionalFormatting sqref="F38:F49">
    <cfRule type="cellIs" dxfId="0" priority="7" operator="equal">
      <formula>"Closed"</formula>
    </cfRule>
  </conditionalFormatting>
  <pageMargins left="0.7" right="0.7" top="0.75" bottom="0.75" header="0.3" footer="0.3"/>
  <pageSetup orientation="portrait"/>
  <headerFooter>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F12E8-E2D8-6818-CED8-B0182787D8FD}">
  <dimension ref="A1:H86"/>
  <sheetViews>
    <sheetView topLeftCell="C1" workbookViewId="0">
      <pane ySplit="5" topLeftCell="A6" activePane="bottomLeft" state="frozen"/>
      <selection pane="bottomLeft" activeCell="B82" sqref="B82:H82"/>
    </sheetView>
  </sheetViews>
  <sheetFormatPr defaultColWidth="8.85546875" defaultRowHeight="15" customHeight="1"/>
  <cols>
    <col min="1" max="1" width="15.140625" bestFit="1" customWidth="1"/>
    <col min="2" max="2" width="29.140625" bestFit="1" customWidth="1"/>
    <col min="3" max="3" width="55.5703125" bestFit="1" customWidth="1"/>
    <col min="4" max="4" width="100.7109375" bestFit="1" customWidth="1"/>
    <col min="5" max="5" width="70.28515625" bestFit="1" customWidth="1"/>
    <col min="6" max="6" width="39.140625" bestFit="1" customWidth="1"/>
    <col min="7" max="7" width="49.5703125" bestFit="1" customWidth="1"/>
    <col min="8" max="8" width="24.85546875" bestFit="1" customWidth="1"/>
  </cols>
  <sheetData>
    <row r="1" spans="1:8" ht="21">
      <c r="A1" s="190" t="s">
        <v>576</v>
      </c>
      <c r="B1" s="191"/>
      <c r="C1" s="191"/>
      <c r="D1" s="191"/>
      <c r="E1" s="191"/>
      <c r="F1" s="191"/>
      <c r="G1" s="191"/>
      <c r="H1" s="191"/>
    </row>
    <row r="2" spans="1:8">
      <c r="A2" s="239" t="s">
        <v>577</v>
      </c>
      <c r="B2" s="191"/>
      <c r="C2" s="191"/>
      <c r="D2" s="191"/>
      <c r="E2" s="191"/>
      <c r="F2" s="191"/>
      <c r="G2" s="191"/>
      <c r="H2" s="191"/>
    </row>
    <row r="3" spans="1:8">
      <c r="A3" s="44" t="s">
        <v>184</v>
      </c>
      <c r="B3" s="11" t="s">
        <v>185</v>
      </c>
    </row>
    <row r="4" spans="1:8"/>
    <row r="5" spans="1:8" ht="18.75">
      <c r="B5" s="238" t="s">
        <v>578</v>
      </c>
      <c r="C5" s="191"/>
      <c r="D5" s="191"/>
      <c r="E5" s="191"/>
      <c r="F5" s="191"/>
      <c r="G5" s="191"/>
      <c r="H5" s="191"/>
    </row>
    <row r="6" spans="1:8">
      <c r="B6" s="240" t="s">
        <v>579</v>
      </c>
      <c r="C6" s="191"/>
      <c r="D6" s="241" t="s">
        <v>580</v>
      </c>
      <c r="E6" s="191"/>
      <c r="F6" s="191"/>
      <c r="G6" s="191"/>
      <c r="H6" s="191"/>
    </row>
    <row r="7" spans="1:8"/>
    <row r="8" spans="1:8">
      <c r="B8" s="240" t="s">
        <v>581</v>
      </c>
      <c r="C8" s="191"/>
      <c r="D8" s="191"/>
      <c r="E8" s="191"/>
      <c r="F8" s="191"/>
      <c r="G8" s="191"/>
      <c r="H8" s="191"/>
    </row>
    <row r="9" spans="1:8">
      <c r="B9" s="2" t="s">
        <v>582</v>
      </c>
      <c r="C9" s="2" t="s">
        <v>583</v>
      </c>
      <c r="D9" s="2" t="s">
        <v>525</v>
      </c>
      <c r="E9" s="2" t="s">
        <v>584</v>
      </c>
      <c r="F9" s="2" t="s">
        <v>585</v>
      </c>
      <c r="G9" s="2" t="s">
        <v>586</v>
      </c>
      <c r="H9" s="2" t="s">
        <v>587</v>
      </c>
    </row>
    <row r="10" spans="1:8">
      <c r="B10" s="42" t="s">
        <v>588</v>
      </c>
      <c r="C10" s="41" t="s">
        <v>589</v>
      </c>
      <c r="D10" s="41" t="s">
        <v>590</v>
      </c>
      <c r="E10" s="42" t="s">
        <v>591</v>
      </c>
      <c r="F10" s="42" t="s">
        <v>592</v>
      </c>
      <c r="G10" s="41" t="s">
        <v>31</v>
      </c>
      <c r="H10" s="41" t="s">
        <v>125</v>
      </c>
    </row>
    <row r="11" spans="1:8">
      <c r="B11" s="32" t="s">
        <v>593</v>
      </c>
      <c r="C11" s="31" t="s">
        <v>594</v>
      </c>
      <c r="D11" s="31" t="s">
        <v>595</v>
      </c>
      <c r="E11" s="32" t="s">
        <v>596</v>
      </c>
      <c r="F11" s="32" t="s">
        <v>597</v>
      </c>
      <c r="G11" s="31" t="s">
        <v>598</v>
      </c>
      <c r="H11" s="31" t="s">
        <v>599</v>
      </c>
    </row>
    <row r="12" spans="1:8">
      <c r="B12" s="42" t="s">
        <v>600</v>
      </c>
      <c r="C12" s="41" t="s">
        <v>601</v>
      </c>
      <c r="D12" s="41" t="s">
        <v>602</v>
      </c>
      <c r="E12" s="42" t="s">
        <v>603</v>
      </c>
      <c r="F12" s="42" t="s">
        <v>604</v>
      </c>
      <c r="G12" s="41" t="s">
        <v>68</v>
      </c>
      <c r="H12" s="41" t="s">
        <v>605</v>
      </c>
    </row>
    <row r="13" spans="1:8">
      <c r="B13" s="32" t="s">
        <v>606</v>
      </c>
      <c r="C13" s="31" t="s">
        <v>607</v>
      </c>
      <c r="D13" s="31" t="s">
        <v>608</v>
      </c>
      <c r="E13" s="32" t="s">
        <v>609</v>
      </c>
      <c r="F13" s="32" t="s">
        <v>610</v>
      </c>
      <c r="G13" s="31" t="s">
        <v>570</v>
      </c>
      <c r="H13" s="31" t="s">
        <v>611</v>
      </c>
    </row>
    <row r="14" spans="1:8"/>
    <row r="15" spans="1:8" ht="18.75">
      <c r="B15" s="238" t="s">
        <v>612</v>
      </c>
      <c r="C15" s="191"/>
      <c r="D15" s="191"/>
      <c r="E15" s="191"/>
      <c r="F15" s="191"/>
      <c r="G15" s="191"/>
      <c r="H15" s="191"/>
    </row>
    <row r="16" spans="1:8">
      <c r="B16" s="2" t="s">
        <v>613</v>
      </c>
      <c r="C16" s="2" t="s">
        <v>614</v>
      </c>
      <c r="D16" s="2" t="s">
        <v>525</v>
      </c>
      <c r="E16" s="2" t="s">
        <v>17</v>
      </c>
      <c r="F16" s="2" t="s">
        <v>615</v>
      </c>
      <c r="G16" s="2" t="s">
        <v>526</v>
      </c>
      <c r="H16" s="2" t="s">
        <v>616</v>
      </c>
    </row>
    <row r="17" spans="2:8">
      <c r="B17" s="42" t="s">
        <v>591</v>
      </c>
      <c r="C17" s="41" t="s">
        <v>617</v>
      </c>
      <c r="D17" s="41" t="s">
        <v>618</v>
      </c>
      <c r="E17" s="42" t="s">
        <v>31</v>
      </c>
      <c r="F17" s="42" t="s">
        <v>619</v>
      </c>
      <c r="G17" s="42" t="s">
        <v>530</v>
      </c>
      <c r="H17" s="42" t="s">
        <v>588</v>
      </c>
    </row>
    <row r="18" spans="2:8">
      <c r="B18" s="32" t="s">
        <v>596</v>
      </c>
      <c r="C18" s="31" t="s">
        <v>620</v>
      </c>
      <c r="D18" s="31" t="s">
        <v>621</v>
      </c>
      <c r="E18" s="32" t="s">
        <v>150</v>
      </c>
      <c r="F18" s="32" t="s">
        <v>619</v>
      </c>
      <c r="G18" s="32" t="s">
        <v>543</v>
      </c>
      <c r="H18" s="32" t="s">
        <v>593</v>
      </c>
    </row>
    <row r="19" spans="2:8">
      <c r="B19" s="42" t="s">
        <v>603</v>
      </c>
      <c r="C19" s="41" t="s">
        <v>622</v>
      </c>
      <c r="D19" s="41" t="s">
        <v>623</v>
      </c>
      <c r="E19" s="42" t="s">
        <v>68</v>
      </c>
      <c r="F19" s="42" t="s">
        <v>619</v>
      </c>
      <c r="G19" s="42" t="s">
        <v>530</v>
      </c>
      <c r="H19" s="42" t="s">
        <v>600</v>
      </c>
    </row>
    <row r="20" spans="2:8">
      <c r="B20" s="32" t="s">
        <v>624</v>
      </c>
      <c r="C20" s="31" t="s">
        <v>625</v>
      </c>
      <c r="D20" s="31" t="s">
        <v>626</v>
      </c>
      <c r="E20" s="32" t="s">
        <v>24</v>
      </c>
      <c r="F20" s="32" t="s">
        <v>627</v>
      </c>
      <c r="G20" s="32" t="s">
        <v>546</v>
      </c>
      <c r="H20" s="32" t="s">
        <v>606</v>
      </c>
    </row>
    <row r="21" spans="2:8">
      <c r="B21" s="42" t="s">
        <v>628</v>
      </c>
      <c r="C21" s="41" t="s">
        <v>629</v>
      </c>
      <c r="D21" s="41" t="s">
        <v>630</v>
      </c>
      <c r="E21" s="42" t="s">
        <v>173</v>
      </c>
      <c r="F21" s="42" t="s">
        <v>619</v>
      </c>
      <c r="G21" s="42" t="s">
        <v>536</v>
      </c>
      <c r="H21" s="42" t="s">
        <v>606</v>
      </c>
    </row>
    <row r="22" spans="2:8">
      <c r="B22" s="32" t="s">
        <v>631</v>
      </c>
      <c r="C22" s="31" t="s">
        <v>632</v>
      </c>
      <c r="D22" s="31" t="s">
        <v>633</v>
      </c>
      <c r="E22" s="32" t="s">
        <v>181</v>
      </c>
      <c r="F22" s="32" t="s">
        <v>619</v>
      </c>
      <c r="G22" s="32" t="s">
        <v>634</v>
      </c>
      <c r="H22" s="32" t="s">
        <v>588</v>
      </c>
    </row>
    <row r="23" spans="2:8">
      <c r="B23" s="42" t="s">
        <v>635</v>
      </c>
      <c r="C23" s="41" t="s">
        <v>636</v>
      </c>
      <c r="D23" s="41" t="s">
        <v>637</v>
      </c>
      <c r="E23" s="42" t="s">
        <v>37</v>
      </c>
      <c r="F23" s="42" t="s">
        <v>627</v>
      </c>
      <c r="G23" s="42" t="s">
        <v>638</v>
      </c>
      <c r="H23" s="42" t="s">
        <v>600</v>
      </c>
    </row>
    <row r="24" spans="2:8"/>
    <row r="25" spans="2:8" ht="18.75">
      <c r="B25" s="238" t="s">
        <v>639</v>
      </c>
      <c r="C25" s="191"/>
      <c r="D25" s="191"/>
      <c r="E25" s="191"/>
      <c r="F25" s="191"/>
      <c r="G25" s="191"/>
      <c r="H25" s="191"/>
    </row>
    <row r="26" spans="2:8">
      <c r="B26" s="2" t="s">
        <v>640</v>
      </c>
      <c r="C26" s="2" t="s">
        <v>641</v>
      </c>
      <c r="D26" s="2" t="s">
        <v>410</v>
      </c>
      <c r="E26" s="2" t="s">
        <v>642</v>
      </c>
      <c r="F26" s="2" t="s">
        <v>643</v>
      </c>
      <c r="G26" s="2" t="s">
        <v>644</v>
      </c>
      <c r="H26" s="2" t="s">
        <v>17</v>
      </c>
    </row>
    <row r="27" spans="2:8">
      <c r="B27" s="29" t="s">
        <v>645</v>
      </c>
      <c r="C27" s="36" t="s">
        <v>646</v>
      </c>
      <c r="D27" s="36" t="s">
        <v>647</v>
      </c>
      <c r="E27" s="36" t="s">
        <v>648</v>
      </c>
      <c r="F27" s="36" t="s">
        <v>649</v>
      </c>
      <c r="G27" s="36" t="s">
        <v>650</v>
      </c>
      <c r="H27" s="36" t="s">
        <v>31</v>
      </c>
    </row>
    <row r="28" spans="2:8">
      <c r="B28" s="32" t="s">
        <v>651</v>
      </c>
      <c r="C28" s="39" t="s">
        <v>652</v>
      </c>
      <c r="D28" s="39" t="s">
        <v>653</v>
      </c>
      <c r="E28" s="39" t="s">
        <v>654</v>
      </c>
      <c r="F28" s="39" t="s">
        <v>655</v>
      </c>
      <c r="G28" s="39" t="s">
        <v>656</v>
      </c>
      <c r="H28" s="39" t="s">
        <v>31</v>
      </c>
    </row>
    <row r="29" spans="2:8">
      <c r="B29" s="29" t="s">
        <v>657</v>
      </c>
      <c r="C29" s="36" t="s">
        <v>658</v>
      </c>
      <c r="D29" s="36" t="s">
        <v>659</v>
      </c>
      <c r="E29" s="36" t="s">
        <v>660</v>
      </c>
      <c r="F29" s="36" t="s">
        <v>661</v>
      </c>
      <c r="G29" s="36" t="s">
        <v>662</v>
      </c>
      <c r="H29" s="36" t="s">
        <v>663</v>
      </c>
    </row>
    <row r="30" spans="2:8">
      <c r="B30" s="32" t="s">
        <v>664</v>
      </c>
      <c r="C30" s="39" t="s">
        <v>665</v>
      </c>
      <c r="D30" s="39" t="s">
        <v>666</v>
      </c>
      <c r="E30" s="39" t="s">
        <v>667</v>
      </c>
      <c r="F30" s="39" t="s">
        <v>668</v>
      </c>
      <c r="G30" s="39" t="s">
        <v>669</v>
      </c>
      <c r="H30" s="39" t="s">
        <v>570</v>
      </c>
    </row>
    <row r="31" spans="2:8">
      <c r="B31" s="29" t="s">
        <v>670</v>
      </c>
      <c r="C31" s="36" t="s">
        <v>671</v>
      </c>
      <c r="D31" s="36" t="s">
        <v>672</v>
      </c>
      <c r="E31" s="36" t="s">
        <v>673</v>
      </c>
      <c r="F31" s="36" t="s">
        <v>674</v>
      </c>
      <c r="G31" s="36" t="s">
        <v>675</v>
      </c>
      <c r="H31" s="36" t="s">
        <v>68</v>
      </c>
    </row>
    <row r="32" spans="2:8">
      <c r="B32" s="32" t="s">
        <v>676</v>
      </c>
      <c r="C32" s="39" t="s">
        <v>677</v>
      </c>
      <c r="D32" s="39" t="s">
        <v>678</v>
      </c>
      <c r="E32" s="39" t="s">
        <v>679</v>
      </c>
      <c r="F32" s="39" t="s">
        <v>680</v>
      </c>
      <c r="G32" s="39" t="s">
        <v>681</v>
      </c>
      <c r="H32" s="39" t="s">
        <v>573</v>
      </c>
    </row>
    <row r="33" spans="2:8">
      <c r="B33" s="29" t="s">
        <v>682</v>
      </c>
      <c r="C33" s="36" t="s">
        <v>683</v>
      </c>
      <c r="D33" s="36" t="s">
        <v>684</v>
      </c>
      <c r="E33" s="36" t="s">
        <v>685</v>
      </c>
      <c r="F33" s="36" t="s">
        <v>686</v>
      </c>
      <c r="G33" s="36" t="s">
        <v>687</v>
      </c>
      <c r="H33" s="36" t="s">
        <v>24</v>
      </c>
    </row>
    <row r="34" spans="2:8">
      <c r="B34" s="32" t="s">
        <v>688</v>
      </c>
      <c r="C34" s="39" t="s">
        <v>689</v>
      </c>
      <c r="D34" s="39" t="s">
        <v>690</v>
      </c>
      <c r="E34" s="39" t="s">
        <v>691</v>
      </c>
      <c r="F34" s="39" t="s">
        <v>680</v>
      </c>
      <c r="G34" s="39" t="s">
        <v>692</v>
      </c>
      <c r="H34" s="39" t="s">
        <v>31</v>
      </c>
    </row>
    <row r="35" spans="2:8"/>
    <row r="36" spans="2:8" ht="18.75">
      <c r="B36" s="238" t="s">
        <v>693</v>
      </c>
      <c r="C36" s="191"/>
      <c r="D36" s="191"/>
      <c r="E36" s="191"/>
      <c r="F36" s="191"/>
      <c r="G36" s="191"/>
      <c r="H36" s="191"/>
    </row>
    <row r="37" spans="2:8">
      <c r="B37" s="2" t="s">
        <v>694</v>
      </c>
      <c r="C37" s="2" t="s">
        <v>695</v>
      </c>
      <c r="D37" s="2" t="s">
        <v>696</v>
      </c>
      <c r="E37" s="2" t="s">
        <v>697</v>
      </c>
      <c r="F37" s="2" t="s">
        <v>698</v>
      </c>
      <c r="G37" s="2" t="s">
        <v>699</v>
      </c>
      <c r="H37" s="2" t="s">
        <v>700</v>
      </c>
    </row>
    <row r="38" spans="2:8">
      <c r="B38" s="52" t="s">
        <v>701</v>
      </c>
      <c r="C38" s="29" t="s">
        <v>702</v>
      </c>
      <c r="D38" s="36" t="s">
        <v>703</v>
      </c>
      <c r="E38" s="29" t="s">
        <v>704</v>
      </c>
      <c r="F38" s="36" t="s">
        <v>705</v>
      </c>
      <c r="G38" s="36" t="s">
        <v>706</v>
      </c>
      <c r="H38" s="29" t="s">
        <v>707</v>
      </c>
    </row>
    <row r="39" spans="2:8">
      <c r="B39" s="53" t="s">
        <v>708</v>
      </c>
      <c r="C39" s="32" t="s">
        <v>709</v>
      </c>
      <c r="D39" s="39" t="s">
        <v>710</v>
      </c>
      <c r="E39" s="32" t="s">
        <v>458</v>
      </c>
      <c r="F39" s="39" t="s">
        <v>711</v>
      </c>
      <c r="G39" s="39" t="s">
        <v>712</v>
      </c>
      <c r="H39" s="32" t="s">
        <v>713</v>
      </c>
    </row>
    <row r="40" spans="2:8">
      <c r="B40" s="53" t="s">
        <v>708</v>
      </c>
      <c r="C40" s="29" t="s">
        <v>714</v>
      </c>
      <c r="D40" s="36" t="s">
        <v>715</v>
      </c>
      <c r="E40" s="29" t="s">
        <v>716</v>
      </c>
      <c r="F40" s="36" t="s">
        <v>717</v>
      </c>
      <c r="G40" s="36" t="s">
        <v>718</v>
      </c>
      <c r="H40" s="29" t="s">
        <v>719</v>
      </c>
    </row>
    <row r="41" spans="2:8">
      <c r="B41" s="53" t="s">
        <v>708</v>
      </c>
      <c r="C41" s="32" t="s">
        <v>720</v>
      </c>
      <c r="D41" s="39" t="s">
        <v>721</v>
      </c>
      <c r="E41" s="32" t="s">
        <v>722</v>
      </c>
      <c r="F41" s="39" t="s">
        <v>705</v>
      </c>
      <c r="G41" s="39" t="s">
        <v>723</v>
      </c>
      <c r="H41" s="32" t="s">
        <v>724</v>
      </c>
    </row>
    <row r="42" spans="2:8">
      <c r="B42" s="54" t="s">
        <v>725</v>
      </c>
      <c r="C42" s="29" t="s">
        <v>726</v>
      </c>
      <c r="D42" s="36" t="s">
        <v>727</v>
      </c>
      <c r="E42" s="29" t="s">
        <v>728</v>
      </c>
      <c r="F42" s="36" t="s">
        <v>570</v>
      </c>
      <c r="G42" s="36" t="s">
        <v>729</v>
      </c>
      <c r="H42" s="29" t="s">
        <v>730</v>
      </c>
    </row>
    <row r="43" spans="2:8">
      <c r="B43" s="54" t="s">
        <v>725</v>
      </c>
      <c r="C43" s="32" t="s">
        <v>731</v>
      </c>
      <c r="D43" s="39" t="s">
        <v>732</v>
      </c>
      <c r="E43" s="32" t="s">
        <v>733</v>
      </c>
      <c r="F43" s="39" t="s">
        <v>663</v>
      </c>
      <c r="G43" s="39" t="s">
        <v>734</v>
      </c>
      <c r="H43" s="32" t="s">
        <v>735</v>
      </c>
    </row>
    <row r="44" spans="2:8">
      <c r="B44" s="55" t="s">
        <v>736</v>
      </c>
      <c r="C44" s="29" t="s">
        <v>737</v>
      </c>
      <c r="D44" s="36" t="s">
        <v>738</v>
      </c>
      <c r="E44" s="29" t="s">
        <v>739</v>
      </c>
      <c r="F44" s="36" t="s">
        <v>740</v>
      </c>
      <c r="G44" s="36" t="s">
        <v>741</v>
      </c>
      <c r="H44" s="29" t="s">
        <v>742</v>
      </c>
    </row>
    <row r="45" spans="2:8">
      <c r="B45" s="55" t="s">
        <v>736</v>
      </c>
      <c r="C45" s="32" t="s">
        <v>743</v>
      </c>
      <c r="D45" s="39" t="s">
        <v>744</v>
      </c>
      <c r="E45" s="32" t="s">
        <v>745</v>
      </c>
      <c r="F45" s="39" t="s">
        <v>746</v>
      </c>
      <c r="G45" s="39" t="s">
        <v>729</v>
      </c>
      <c r="H45" s="32" t="s">
        <v>747</v>
      </c>
    </row>
    <row r="46" spans="2:8">
      <c r="B46" s="55" t="s">
        <v>736</v>
      </c>
      <c r="C46" s="29" t="s">
        <v>748</v>
      </c>
      <c r="D46" s="36" t="s">
        <v>749</v>
      </c>
      <c r="E46" s="29" t="s">
        <v>750</v>
      </c>
      <c r="F46" s="36" t="s">
        <v>31</v>
      </c>
      <c r="G46" s="36" t="s">
        <v>751</v>
      </c>
      <c r="H46" s="29" t="s">
        <v>752</v>
      </c>
    </row>
    <row r="47" spans="2:8"/>
    <row r="48" spans="2:8" ht="18.75">
      <c r="B48" s="238" t="s">
        <v>753</v>
      </c>
      <c r="C48" s="191"/>
      <c r="D48" s="191"/>
      <c r="E48" s="191"/>
      <c r="F48" s="191"/>
      <c r="G48" s="191"/>
      <c r="H48" s="191"/>
    </row>
    <row r="49" spans="2:8">
      <c r="B49" s="2" t="s">
        <v>754</v>
      </c>
      <c r="C49" s="2" t="s">
        <v>755</v>
      </c>
      <c r="D49" s="2" t="s">
        <v>756</v>
      </c>
      <c r="E49" s="2" t="s">
        <v>757</v>
      </c>
      <c r="F49" s="2" t="s">
        <v>643</v>
      </c>
      <c r="G49" s="2" t="s">
        <v>758</v>
      </c>
      <c r="H49" s="2" t="s">
        <v>759</v>
      </c>
    </row>
    <row r="50" spans="2:8">
      <c r="B50" s="53" t="s">
        <v>760</v>
      </c>
      <c r="C50" s="36" t="s">
        <v>761</v>
      </c>
      <c r="D50" s="36" t="s">
        <v>762</v>
      </c>
      <c r="E50" s="36" t="s">
        <v>763</v>
      </c>
      <c r="F50" s="36" t="s">
        <v>764</v>
      </c>
      <c r="G50" s="36" t="s">
        <v>706</v>
      </c>
      <c r="H50" s="36" t="s">
        <v>125</v>
      </c>
    </row>
    <row r="51" spans="2:8">
      <c r="B51" s="56" t="s">
        <v>765</v>
      </c>
      <c r="C51" s="39" t="s">
        <v>766</v>
      </c>
      <c r="D51" s="39" t="s">
        <v>767</v>
      </c>
      <c r="E51" s="39" t="s">
        <v>768</v>
      </c>
      <c r="F51" s="39" t="s">
        <v>769</v>
      </c>
      <c r="G51" s="39" t="s">
        <v>770</v>
      </c>
      <c r="H51" s="39" t="s">
        <v>771</v>
      </c>
    </row>
    <row r="52" spans="2:8">
      <c r="B52" s="54" t="s">
        <v>772</v>
      </c>
      <c r="C52" s="36" t="s">
        <v>773</v>
      </c>
      <c r="D52" s="36" t="s">
        <v>774</v>
      </c>
      <c r="E52" s="36" t="s">
        <v>775</v>
      </c>
      <c r="F52" s="36" t="s">
        <v>776</v>
      </c>
      <c r="G52" s="36" t="s">
        <v>777</v>
      </c>
      <c r="H52" s="36" t="s">
        <v>605</v>
      </c>
    </row>
    <row r="53" spans="2:8">
      <c r="B53" s="55" t="s">
        <v>778</v>
      </c>
      <c r="C53" s="39" t="s">
        <v>779</v>
      </c>
      <c r="D53" s="39" t="s">
        <v>780</v>
      </c>
      <c r="E53" s="39" t="s">
        <v>781</v>
      </c>
      <c r="F53" s="39" t="s">
        <v>782</v>
      </c>
      <c r="G53" s="39" t="s">
        <v>783</v>
      </c>
      <c r="H53" s="39" t="s">
        <v>125</v>
      </c>
    </row>
    <row r="54" spans="2:8">
      <c r="B54" s="52" t="s">
        <v>784</v>
      </c>
      <c r="C54" s="36" t="s">
        <v>785</v>
      </c>
      <c r="D54" s="36" t="s">
        <v>786</v>
      </c>
      <c r="E54" s="36" t="s">
        <v>787</v>
      </c>
      <c r="F54" s="36" t="s">
        <v>788</v>
      </c>
      <c r="G54" s="36" t="s">
        <v>741</v>
      </c>
      <c r="H54" s="36" t="s">
        <v>789</v>
      </c>
    </row>
    <row r="55" spans="2:8"/>
    <row r="56" spans="2:8" ht="18.75">
      <c r="B56" s="238" t="s">
        <v>790</v>
      </c>
      <c r="C56" s="191"/>
      <c r="D56" s="191"/>
      <c r="E56" s="191"/>
      <c r="F56" s="191"/>
      <c r="G56" s="191"/>
      <c r="H56" s="191"/>
    </row>
    <row r="57" spans="2:8">
      <c r="B57" s="2" t="s">
        <v>791</v>
      </c>
      <c r="C57" s="2" t="s">
        <v>792</v>
      </c>
      <c r="D57" s="2" t="s">
        <v>793</v>
      </c>
      <c r="E57" s="2" t="s">
        <v>794</v>
      </c>
      <c r="F57" s="2" t="s">
        <v>16</v>
      </c>
      <c r="G57" s="2" t="s">
        <v>795</v>
      </c>
      <c r="H57" s="2" t="s">
        <v>587</v>
      </c>
    </row>
    <row r="58" spans="2:8">
      <c r="B58" s="57" t="s">
        <v>796</v>
      </c>
      <c r="C58" s="41" t="s">
        <v>797</v>
      </c>
      <c r="D58" s="41" t="s">
        <v>798</v>
      </c>
      <c r="E58" s="42" t="s">
        <v>51</v>
      </c>
      <c r="F58" s="42" t="s">
        <v>42</v>
      </c>
      <c r="G58" s="41" t="s">
        <v>799</v>
      </c>
      <c r="H58" s="41" t="s">
        <v>800</v>
      </c>
    </row>
    <row r="59" spans="2:8">
      <c r="B59" s="58" t="s">
        <v>801</v>
      </c>
      <c r="C59" s="31" t="s">
        <v>802</v>
      </c>
      <c r="D59" s="31" t="s">
        <v>803</v>
      </c>
      <c r="E59" s="32" t="s">
        <v>804</v>
      </c>
      <c r="F59" s="32" t="s">
        <v>42</v>
      </c>
      <c r="G59" s="31" t="s">
        <v>805</v>
      </c>
      <c r="H59" s="31" t="s">
        <v>125</v>
      </c>
    </row>
    <row r="60" spans="2:8">
      <c r="B60" s="59" t="s">
        <v>806</v>
      </c>
      <c r="C60" s="41" t="s">
        <v>807</v>
      </c>
      <c r="D60" s="41" t="s">
        <v>808</v>
      </c>
      <c r="E60" s="42" t="s">
        <v>809</v>
      </c>
      <c r="F60" s="42" t="s">
        <v>23</v>
      </c>
      <c r="G60" s="41" t="s">
        <v>810</v>
      </c>
      <c r="H60" s="41" t="s">
        <v>605</v>
      </c>
    </row>
    <row r="61" spans="2:8">
      <c r="B61" s="60" t="s">
        <v>811</v>
      </c>
      <c r="C61" s="31" t="s">
        <v>812</v>
      </c>
      <c r="D61" s="31" t="s">
        <v>813</v>
      </c>
      <c r="E61" s="32" t="s">
        <v>29</v>
      </c>
      <c r="F61" s="32" t="s">
        <v>30</v>
      </c>
      <c r="G61" s="31" t="s">
        <v>814</v>
      </c>
      <c r="H61" s="31" t="s">
        <v>125</v>
      </c>
    </row>
    <row r="62" spans="2:8">
      <c r="B62" s="61" t="s">
        <v>815</v>
      </c>
      <c r="C62" s="41" t="s">
        <v>816</v>
      </c>
      <c r="D62" s="41" t="s">
        <v>817</v>
      </c>
      <c r="E62" s="42" t="s">
        <v>22</v>
      </c>
      <c r="F62" s="42" t="s">
        <v>23</v>
      </c>
      <c r="G62" s="41" t="s">
        <v>818</v>
      </c>
      <c r="H62" s="41" t="s">
        <v>819</v>
      </c>
    </row>
    <row r="63" spans="2:8"/>
    <row r="64" spans="2:8" ht="18.75">
      <c r="B64" s="238" t="s">
        <v>820</v>
      </c>
      <c r="C64" s="191"/>
      <c r="D64" s="191"/>
      <c r="E64" s="191"/>
      <c r="F64" s="191"/>
      <c r="G64" s="191"/>
      <c r="H64" s="191"/>
    </row>
    <row r="65" spans="2:8">
      <c r="B65" s="2" t="s">
        <v>821</v>
      </c>
      <c r="C65" s="2" t="s">
        <v>822</v>
      </c>
      <c r="D65" s="2" t="s">
        <v>823</v>
      </c>
      <c r="E65" s="2" t="s">
        <v>824</v>
      </c>
      <c r="F65" s="2" t="s">
        <v>825</v>
      </c>
      <c r="G65" s="2" t="s">
        <v>17</v>
      </c>
      <c r="H65" s="2" t="s">
        <v>585</v>
      </c>
    </row>
    <row r="66" spans="2:8">
      <c r="B66" s="62" t="s">
        <v>826</v>
      </c>
      <c r="C66" s="41" t="s">
        <v>827</v>
      </c>
      <c r="D66" s="41" t="s">
        <v>828</v>
      </c>
      <c r="E66" s="41" t="s">
        <v>829</v>
      </c>
      <c r="F66" s="41" t="s">
        <v>830</v>
      </c>
      <c r="G66" s="42" t="s">
        <v>173</v>
      </c>
      <c r="H66" s="42" t="s">
        <v>726</v>
      </c>
    </row>
    <row r="67" spans="2:8">
      <c r="B67" s="63" t="s">
        <v>831</v>
      </c>
      <c r="C67" s="31" t="s">
        <v>832</v>
      </c>
      <c r="D67" s="31" t="s">
        <v>833</v>
      </c>
      <c r="E67" s="31" t="s">
        <v>834</v>
      </c>
      <c r="F67" s="31" t="s">
        <v>835</v>
      </c>
      <c r="G67" s="32" t="s">
        <v>150</v>
      </c>
      <c r="H67" s="32" t="s">
        <v>726</v>
      </c>
    </row>
    <row r="68" spans="2:8">
      <c r="B68" s="62" t="s">
        <v>836</v>
      </c>
      <c r="C68" s="41" t="s">
        <v>837</v>
      </c>
      <c r="D68" s="41" t="s">
        <v>838</v>
      </c>
      <c r="E68" s="41" t="s">
        <v>839</v>
      </c>
      <c r="F68" s="41" t="s">
        <v>840</v>
      </c>
      <c r="G68" s="42" t="s">
        <v>68</v>
      </c>
      <c r="H68" s="42" t="s">
        <v>737</v>
      </c>
    </row>
    <row r="69" spans="2:8">
      <c r="B69" s="63" t="s">
        <v>841</v>
      </c>
      <c r="C69" s="31" t="s">
        <v>842</v>
      </c>
      <c r="D69" s="31" t="s">
        <v>843</v>
      </c>
      <c r="E69" s="31" t="s">
        <v>844</v>
      </c>
      <c r="F69" s="31" t="s">
        <v>835</v>
      </c>
      <c r="G69" s="32" t="s">
        <v>845</v>
      </c>
      <c r="H69" s="32" t="s">
        <v>726</v>
      </c>
    </row>
    <row r="70" spans="2:8">
      <c r="B70" s="62" t="s">
        <v>846</v>
      </c>
      <c r="C70" s="41" t="s">
        <v>847</v>
      </c>
      <c r="D70" s="41" t="s">
        <v>848</v>
      </c>
      <c r="E70" s="41" t="s">
        <v>849</v>
      </c>
      <c r="F70" s="41" t="s">
        <v>850</v>
      </c>
      <c r="G70" s="42" t="s">
        <v>851</v>
      </c>
      <c r="H70" s="42" t="s">
        <v>731</v>
      </c>
    </row>
    <row r="71" spans="2:8">
      <c r="B71" s="63" t="s">
        <v>852</v>
      </c>
      <c r="C71" s="31" t="s">
        <v>853</v>
      </c>
      <c r="D71" s="31" t="s">
        <v>854</v>
      </c>
      <c r="E71" s="31" t="s">
        <v>855</v>
      </c>
      <c r="F71" s="31" t="s">
        <v>856</v>
      </c>
      <c r="G71" s="32" t="s">
        <v>68</v>
      </c>
      <c r="H71" s="32" t="s">
        <v>737</v>
      </c>
    </row>
    <row r="72" spans="2:8">
      <c r="B72" s="62" t="s">
        <v>857</v>
      </c>
      <c r="C72" s="41" t="s">
        <v>858</v>
      </c>
      <c r="D72" s="41" t="s">
        <v>859</v>
      </c>
      <c r="E72" s="41" t="s">
        <v>860</v>
      </c>
      <c r="F72" s="41" t="s">
        <v>861</v>
      </c>
      <c r="G72" s="42" t="s">
        <v>173</v>
      </c>
      <c r="H72" s="42" t="s">
        <v>726</v>
      </c>
    </row>
    <row r="73" spans="2:8">
      <c r="B73" s="63" t="s">
        <v>862</v>
      </c>
      <c r="C73" s="31" t="s">
        <v>863</v>
      </c>
      <c r="D73" s="31" t="s">
        <v>864</v>
      </c>
      <c r="E73" s="31" t="s">
        <v>865</v>
      </c>
      <c r="F73" s="31" t="s">
        <v>549</v>
      </c>
      <c r="G73" s="32" t="s">
        <v>24</v>
      </c>
      <c r="H73" s="32" t="s">
        <v>748</v>
      </c>
    </row>
    <row r="74" spans="2:8"/>
    <row r="75" spans="2:8" ht="18.75">
      <c r="B75" s="238" t="s">
        <v>866</v>
      </c>
      <c r="C75" s="191"/>
      <c r="D75" s="191"/>
      <c r="E75" s="191"/>
      <c r="F75" s="191"/>
      <c r="G75" s="191"/>
      <c r="H75" s="191"/>
    </row>
    <row r="76" spans="2:8">
      <c r="B76" s="2" t="s">
        <v>867</v>
      </c>
      <c r="C76" s="2" t="s">
        <v>868</v>
      </c>
      <c r="D76" s="2" t="s">
        <v>869</v>
      </c>
      <c r="E76" s="2" t="s">
        <v>870</v>
      </c>
      <c r="F76" s="2" t="s">
        <v>871</v>
      </c>
      <c r="G76" s="2" t="s">
        <v>872</v>
      </c>
      <c r="H76" s="2" t="s">
        <v>17</v>
      </c>
    </row>
    <row r="77" spans="2:8">
      <c r="B77" s="62" t="s">
        <v>873</v>
      </c>
      <c r="C77" s="42" t="s">
        <v>874</v>
      </c>
      <c r="D77" s="41" t="s">
        <v>875</v>
      </c>
      <c r="E77" s="41" t="s">
        <v>876</v>
      </c>
      <c r="F77" s="42" t="s">
        <v>877</v>
      </c>
      <c r="G77" s="41" t="s">
        <v>878</v>
      </c>
      <c r="H77" s="41" t="s">
        <v>173</v>
      </c>
    </row>
    <row r="78" spans="2:8">
      <c r="B78" s="63" t="s">
        <v>879</v>
      </c>
      <c r="C78" s="32" t="s">
        <v>880</v>
      </c>
      <c r="D78" s="31" t="s">
        <v>881</v>
      </c>
      <c r="E78" s="31" t="s">
        <v>593</v>
      </c>
      <c r="F78" s="32" t="s">
        <v>877</v>
      </c>
      <c r="G78" s="31" t="s">
        <v>882</v>
      </c>
      <c r="H78" s="31" t="s">
        <v>663</v>
      </c>
    </row>
    <row r="79" spans="2:8">
      <c r="B79" s="62" t="s">
        <v>883</v>
      </c>
      <c r="C79" s="42" t="s">
        <v>884</v>
      </c>
      <c r="D79" s="41" t="s">
        <v>885</v>
      </c>
      <c r="E79" s="41" t="s">
        <v>600</v>
      </c>
      <c r="F79" s="42" t="s">
        <v>877</v>
      </c>
      <c r="G79" s="41" t="s">
        <v>886</v>
      </c>
      <c r="H79" s="41" t="s">
        <v>37</v>
      </c>
    </row>
    <row r="80" spans="2:8">
      <c r="B80" s="63" t="s">
        <v>887</v>
      </c>
      <c r="C80" s="32" t="s">
        <v>888</v>
      </c>
      <c r="D80" s="31" t="s">
        <v>889</v>
      </c>
      <c r="E80" s="31" t="s">
        <v>890</v>
      </c>
      <c r="F80" s="32" t="s">
        <v>877</v>
      </c>
      <c r="G80" s="31" t="s">
        <v>891</v>
      </c>
      <c r="H80" s="31" t="s">
        <v>892</v>
      </c>
    </row>
    <row r="81" spans="2:8"/>
    <row r="82" spans="2:8" ht="18.75">
      <c r="B82" s="238" t="s">
        <v>893</v>
      </c>
      <c r="C82" s="191"/>
      <c r="D82" s="191"/>
      <c r="E82" s="191"/>
      <c r="F82" s="191"/>
      <c r="G82" s="191"/>
      <c r="H82" s="191"/>
    </row>
    <row r="83" spans="2:8">
      <c r="B83" s="2" t="s">
        <v>894</v>
      </c>
      <c r="C83" s="2" t="s">
        <v>895</v>
      </c>
      <c r="D83" s="2" t="s">
        <v>896</v>
      </c>
      <c r="E83" s="2" t="s">
        <v>756</v>
      </c>
      <c r="F83" s="2" t="s">
        <v>897</v>
      </c>
      <c r="G83" s="2" t="s">
        <v>898</v>
      </c>
      <c r="H83" s="2" t="s">
        <v>17</v>
      </c>
    </row>
    <row r="84" spans="2:8">
      <c r="B84" s="35" t="s">
        <v>899</v>
      </c>
      <c r="C84" s="41" t="s">
        <v>900</v>
      </c>
      <c r="D84" s="41" t="s">
        <v>901</v>
      </c>
      <c r="E84" s="41" t="s">
        <v>902</v>
      </c>
      <c r="F84" s="41" t="s">
        <v>125</v>
      </c>
      <c r="G84" s="41" t="s">
        <v>136</v>
      </c>
      <c r="H84" s="41" t="s">
        <v>903</v>
      </c>
    </row>
    <row r="85" spans="2:8">
      <c r="B85" s="64" t="s">
        <v>904</v>
      </c>
      <c r="C85" s="31" t="s">
        <v>905</v>
      </c>
      <c r="D85" s="31" t="s">
        <v>906</v>
      </c>
      <c r="E85" s="31" t="s">
        <v>907</v>
      </c>
      <c r="F85" s="31" t="s">
        <v>908</v>
      </c>
      <c r="G85" s="31" t="s">
        <v>573</v>
      </c>
      <c r="H85" s="31" t="s">
        <v>31</v>
      </c>
    </row>
    <row r="86" spans="2:8">
      <c r="B86" s="65" t="s">
        <v>909</v>
      </c>
      <c r="C86" s="41" t="s">
        <v>910</v>
      </c>
      <c r="D86" s="41" t="s">
        <v>911</v>
      </c>
      <c r="E86" s="41" t="s">
        <v>912</v>
      </c>
      <c r="F86" s="41" t="s">
        <v>913</v>
      </c>
      <c r="G86" s="41" t="s">
        <v>913</v>
      </c>
      <c r="H86" s="41" t="s">
        <v>914</v>
      </c>
    </row>
  </sheetData>
  <mergeCells count="14">
    <mergeCell ref="B56:H56"/>
    <mergeCell ref="B64:H64"/>
    <mergeCell ref="B75:H75"/>
    <mergeCell ref="B82:H82"/>
    <mergeCell ref="B8:H8"/>
    <mergeCell ref="B15:H15"/>
    <mergeCell ref="B25:H25"/>
    <mergeCell ref="B36:H36"/>
    <mergeCell ref="B48:H48"/>
    <mergeCell ref="A1:H1"/>
    <mergeCell ref="A2:H2"/>
    <mergeCell ref="B5:H5"/>
    <mergeCell ref="B6:C6"/>
    <mergeCell ref="D6:H6"/>
  </mergeCells>
  <pageMargins left="0.7" right="0.7" top="0.75" bottom="0.75" header="0.3" footer="0.3"/>
  <pageSetup orientation="portrait"/>
  <headerFooter>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8244-B6B3-2017-41A9-1568AEE38AB8}">
  <dimension ref="A1:G31"/>
  <sheetViews>
    <sheetView workbookViewId="0">
      <pane ySplit="4" topLeftCell="A5" activePane="bottomLeft" state="frozen"/>
      <selection pane="bottomLeft" activeCell="A5" sqref="A5"/>
    </sheetView>
  </sheetViews>
  <sheetFormatPr defaultColWidth="8.85546875" defaultRowHeight="15" customHeight="1"/>
  <cols>
    <col min="1" max="1" width="26.140625" bestFit="1" customWidth="1"/>
    <col min="2" max="2" width="22" bestFit="1" customWidth="1"/>
    <col min="3" max="3" width="98.5703125" bestFit="1" customWidth="1"/>
    <col min="4" max="4" width="22.5703125" bestFit="1" customWidth="1"/>
    <col min="5" max="5" width="27.42578125" bestFit="1" customWidth="1"/>
    <col min="6" max="6" width="20.5703125" bestFit="1" customWidth="1"/>
    <col min="7" max="7" width="14.42578125" bestFit="1" customWidth="1"/>
  </cols>
  <sheetData>
    <row r="1" spans="1:7" ht="18.75">
      <c r="A1" s="198" t="s">
        <v>915</v>
      </c>
      <c r="B1" s="191"/>
      <c r="C1" s="191"/>
      <c r="D1" s="191"/>
      <c r="E1" s="191"/>
      <c r="F1" s="191"/>
      <c r="G1" s="191"/>
    </row>
    <row r="2" spans="1:7">
      <c r="A2" s="242" t="s">
        <v>916</v>
      </c>
      <c r="B2" s="191"/>
      <c r="C2" s="191"/>
      <c r="D2" s="191"/>
      <c r="E2" s="191"/>
      <c r="F2" s="191"/>
      <c r="G2" s="191"/>
    </row>
    <row r="3" spans="1:7">
      <c r="A3" s="10" t="s">
        <v>184</v>
      </c>
      <c r="B3" s="11" t="s">
        <v>185</v>
      </c>
    </row>
    <row r="4" spans="1:7">
      <c r="A4" s="66" t="s">
        <v>917</v>
      </c>
      <c r="B4" s="66" t="s">
        <v>794</v>
      </c>
      <c r="C4" s="66" t="s">
        <v>918</v>
      </c>
      <c r="D4" s="66" t="s">
        <v>17</v>
      </c>
      <c r="E4" s="66" t="s">
        <v>919</v>
      </c>
      <c r="F4" s="66" t="s">
        <v>920</v>
      </c>
      <c r="G4" s="66" t="s">
        <v>921</v>
      </c>
    </row>
    <row r="5" spans="1:7">
      <c r="A5" s="67" t="s">
        <v>922</v>
      </c>
      <c r="B5" s="15" t="s">
        <v>923</v>
      </c>
      <c r="C5" s="15" t="s">
        <v>924</v>
      </c>
      <c r="D5" s="15" t="s">
        <v>31</v>
      </c>
      <c r="E5" s="15" t="s">
        <v>925</v>
      </c>
      <c r="F5" s="15" t="s">
        <v>926</v>
      </c>
      <c r="G5" s="68" t="s">
        <v>927</v>
      </c>
    </row>
    <row r="6" spans="1:7">
      <c r="A6" s="67" t="s">
        <v>922</v>
      </c>
      <c r="B6" s="18" t="s">
        <v>4</v>
      </c>
      <c r="C6" s="18" t="s">
        <v>928</v>
      </c>
      <c r="D6" s="18" t="s">
        <v>31</v>
      </c>
      <c r="E6" s="18" t="s">
        <v>925</v>
      </c>
      <c r="F6" s="18" t="s">
        <v>929</v>
      </c>
      <c r="G6" s="69" t="s">
        <v>930</v>
      </c>
    </row>
    <row r="7" spans="1:7">
      <c r="A7" s="70" t="s">
        <v>931</v>
      </c>
      <c r="B7" s="15" t="s">
        <v>9</v>
      </c>
      <c r="C7" s="15" t="s">
        <v>932</v>
      </c>
      <c r="D7" s="15" t="s">
        <v>31</v>
      </c>
      <c r="E7" s="15" t="s">
        <v>925</v>
      </c>
      <c r="F7" s="15" t="s">
        <v>933</v>
      </c>
      <c r="G7" s="68" t="s">
        <v>930</v>
      </c>
    </row>
    <row r="8" spans="1:7">
      <c r="A8" s="70" t="s">
        <v>931</v>
      </c>
      <c r="B8" s="18" t="s">
        <v>327</v>
      </c>
      <c r="C8" s="18" t="s">
        <v>934</v>
      </c>
      <c r="D8" s="18" t="s">
        <v>31</v>
      </c>
      <c r="E8" s="18" t="s">
        <v>925</v>
      </c>
      <c r="F8" s="18" t="s">
        <v>935</v>
      </c>
      <c r="G8" s="69" t="s">
        <v>930</v>
      </c>
    </row>
    <row r="9" spans="1:7">
      <c r="A9" s="71" t="s">
        <v>936</v>
      </c>
      <c r="B9" s="15" t="s">
        <v>67</v>
      </c>
      <c r="C9" s="15" t="s">
        <v>937</v>
      </c>
      <c r="D9" s="15" t="s">
        <v>705</v>
      </c>
      <c r="E9" s="15" t="s">
        <v>938</v>
      </c>
      <c r="F9" s="15" t="s">
        <v>939</v>
      </c>
      <c r="G9" s="68" t="s">
        <v>930</v>
      </c>
    </row>
    <row r="10" spans="1:7">
      <c r="A10" s="72" t="s">
        <v>704</v>
      </c>
      <c r="B10" s="18" t="s">
        <v>940</v>
      </c>
      <c r="C10" s="18" t="s">
        <v>941</v>
      </c>
      <c r="D10" s="18" t="s">
        <v>942</v>
      </c>
      <c r="E10" s="18" t="s">
        <v>925</v>
      </c>
      <c r="F10" s="18" t="s">
        <v>943</v>
      </c>
      <c r="G10" s="69" t="s">
        <v>930</v>
      </c>
    </row>
    <row r="11" spans="1:7">
      <c r="A11" s="72" t="s">
        <v>704</v>
      </c>
      <c r="B11" s="15" t="s">
        <v>944</v>
      </c>
      <c r="C11" s="15" t="s">
        <v>945</v>
      </c>
      <c r="D11" s="15" t="s">
        <v>31</v>
      </c>
      <c r="E11" s="15" t="s">
        <v>925</v>
      </c>
      <c r="F11" s="15" t="s">
        <v>943</v>
      </c>
      <c r="G11" s="68" t="s">
        <v>930</v>
      </c>
    </row>
    <row r="12" spans="1:7">
      <c r="A12" s="73" t="s">
        <v>946</v>
      </c>
      <c r="B12" s="18" t="s">
        <v>947</v>
      </c>
      <c r="C12" s="18" t="s">
        <v>948</v>
      </c>
      <c r="D12" s="18" t="s">
        <v>31</v>
      </c>
      <c r="E12" s="18" t="s">
        <v>949</v>
      </c>
      <c r="F12" s="18" t="s">
        <v>950</v>
      </c>
      <c r="G12" s="69" t="s">
        <v>930</v>
      </c>
    </row>
    <row r="13" spans="1:7">
      <c r="A13" s="73" t="s">
        <v>946</v>
      </c>
      <c r="B13" s="15" t="s">
        <v>951</v>
      </c>
      <c r="C13" s="15" t="s">
        <v>952</v>
      </c>
      <c r="D13" s="15" t="s">
        <v>31</v>
      </c>
      <c r="E13" s="15" t="s">
        <v>925</v>
      </c>
      <c r="F13" s="15" t="s">
        <v>953</v>
      </c>
      <c r="G13" s="68" t="s">
        <v>930</v>
      </c>
    </row>
    <row r="14" spans="1:7">
      <c r="A14" s="73" t="s">
        <v>946</v>
      </c>
      <c r="B14" s="18" t="s">
        <v>954</v>
      </c>
      <c r="C14" s="18" t="s">
        <v>955</v>
      </c>
      <c r="D14" s="18" t="s">
        <v>31</v>
      </c>
      <c r="E14" s="18" t="s">
        <v>925</v>
      </c>
      <c r="F14" s="18" t="s">
        <v>939</v>
      </c>
      <c r="G14" s="69" t="s">
        <v>930</v>
      </c>
    </row>
    <row r="15" spans="1:7">
      <c r="A15" s="74" t="s">
        <v>956</v>
      </c>
      <c r="B15" s="15" t="s">
        <v>51</v>
      </c>
      <c r="C15" s="15" t="s">
        <v>957</v>
      </c>
      <c r="D15" s="15" t="s">
        <v>31</v>
      </c>
      <c r="E15" s="15" t="s">
        <v>958</v>
      </c>
      <c r="F15" s="15" t="s">
        <v>959</v>
      </c>
      <c r="G15" s="68" t="s">
        <v>930</v>
      </c>
    </row>
    <row r="16" spans="1:7">
      <c r="A16" s="74" t="s">
        <v>956</v>
      </c>
      <c r="B16" s="18" t="s">
        <v>36</v>
      </c>
      <c r="C16" s="18" t="s">
        <v>960</v>
      </c>
      <c r="D16" s="18" t="s">
        <v>961</v>
      </c>
      <c r="E16" s="18" t="s">
        <v>925</v>
      </c>
      <c r="F16" s="18" t="s">
        <v>962</v>
      </c>
      <c r="G16" s="69" t="s">
        <v>930</v>
      </c>
    </row>
    <row r="17" spans="1:7">
      <c r="A17" s="74" t="s">
        <v>956</v>
      </c>
      <c r="B17" s="15" t="s">
        <v>109</v>
      </c>
      <c r="C17" s="15" t="s">
        <v>963</v>
      </c>
      <c r="D17" s="15" t="s">
        <v>24</v>
      </c>
      <c r="E17" s="15" t="s">
        <v>964</v>
      </c>
      <c r="F17" s="15" t="s">
        <v>965</v>
      </c>
      <c r="G17" s="68" t="s">
        <v>930</v>
      </c>
    </row>
    <row r="18" spans="1:7">
      <c r="A18" s="74" t="s">
        <v>956</v>
      </c>
      <c r="B18" s="18" t="s">
        <v>56</v>
      </c>
      <c r="C18" s="18" t="s">
        <v>966</v>
      </c>
      <c r="D18" s="18" t="s">
        <v>967</v>
      </c>
      <c r="E18" s="18" t="s">
        <v>968</v>
      </c>
      <c r="F18" s="18" t="s">
        <v>969</v>
      </c>
      <c r="G18" s="69" t="s">
        <v>930</v>
      </c>
    </row>
    <row r="19" spans="1:7">
      <c r="A19" s="75" t="s">
        <v>970</v>
      </c>
      <c r="B19" s="15" t="s">
        <v>971</v>
      </c>
      <c r="C19" s="15" t="s">
        <v>972</v>
      </c>
      <c r="D19" s="15" t="s">
        <v>31</v>
      </c>
      <c r="E19" s="15" t="s">
        <v>949</v>
      </c>
      <c r="F19" s="15" t="s">
        <v>973</v>
      </c>
      <c r="G19" s="68" t="s">
        <v>930</v>
      </c>
    </row>
    <row r="20" spans="1:7">
      <c r="A20" s="75" t="s">
        <v>970</v>
      </c>
      <c r="B20" s="18" t="s">
        <v>974</v>
      </c>
      <c r="C20" s="18" t="s">
        <v>975</v>
      </c>
      <c r="D20" s="18" t="s">
        <v>976</v>
      </c>
      <c r="E20" s="18" t="s">
        <v>977</v>
      </c>
      <c r="F20" s="18" t="s">
        <v>978</v>
      </c>
      <c r="G20" s="69" t="s">
        <v>930</v>
      </c>
    </row>
    <row r="21" spans="1:7">
      <c r="A21" s="75" t="s">
        <v>970</v>
      </c>
      <c r="B21" s="15" t="s">
        <v>979</v>
      </c>
      <c r="C21" s="15" t="s">
        <v>980</v>
      </c>
      <c r="D21" s="15" t="s">
        <v>570</v>
      </c>
      <c r="E21" s="15" t="s">
        <v>981</v>
      </c>
      <c r="F21" s="15" t="s">
        <v>978</v>
      </c>
      <c r="G21" s="68" t="s">
        <v>930</v>
      </c>
    </row>
    <row r="22" spans="1:7">
      <c r="A22" s="76" t="s">
        <v>982</v>
      </c>
      <c r="B22" s="18" t="s">
        <v>804</v>
      </c>
      <c r="C22" s="18" t="s">
        <v>983</v>
      </c>
      <c r="D22" s="18" t="s">
        <v>31</v>
      </c>
      <c r="E22" s="18" t="s">
        <v>925</v>
      </c>
      <c r="F22" s="18" t="s">
        <v>950</v>
      </c>
      <c r="G22" s="69" t="s">
        <v>930</v>
      </c>
    </row>
    <row r="23" spans="1:7">
      <c r="A23" s="76" t="s">
        <v>982</v>
      </c>
      <c r="B23" s="15" t="s">
        <v>29</v>
      </c>
      <c r="C23" s="15" t="s">
        <v>984</v>
      </c>
      <c r="D23" s="15" t="s">
        <v>31</v>
      </c>
      <c r="E23" s="15" t="s">
        <v>925</v>
      </c>
      <c r="F23" s="15" t="s">
        <v>929</v>
      </c>
      <c r="G23" s="68" t="s">
        <v>930</v>
      </c>
    </row>
    <row r="24" spans="1:7">
      <c r="A24" s="76" t="s">
        <v>982</v>
      </c>
      <c r="B24" s="18" t="s">
        <v>985</v>
      </c>
      <c r="C24" s="18" t="s">
        <v>986</v>
      </c>
      <c r="D24" s="18" t="s">
        <v>31</v>
      </c>
      <c r="E24" s="18" t="s">
        <v>925</v>
      </c>
      <c r="F24" s="18" t="s">
        <v>987</v>
      </c>
      <c r="G24" s="69" t="s">
        <v>930</v>
      </c>
    </row>
    <row r="25" spans="1:7">
      <c r="A25" s="77" t="s">
        <v>988</v>
      </c>
      <c r="B25" s="15" t="s">
        <v>989</v>
      </c>
      <c r="C25" s="15" t="s">
        <v>990</v>
      </c>
      <c r="D25" s="15" t="s">
        <v>991</v>
      </c>
      <c r="E25" s="15" t="s">
        <v>992</v>
      </c>
      <c r="F25" s="15" t="s">
        <v>993</v>
      </c>
      <c r="G25" s="68" t="s">
        <v>930</v>
      </c>
    </row>
    <row r="26" spans="1:7">
      <c r="A26" s="77" t="s">
        <v>988</v>
      </c>
      <c r="B26" s="18" t="s">
        <v>994</v>
      </c>
      <c r="C26" s="18" t="s">
        <v>995</v>
      </c>
      <c r="D26" s="18" t="s">
        <v>31</v>
      </c>
      <c r="E26" s="18" t="s">
        <v>925</v>
      </c>
      <c r="F26" s="18" t="s">
        <v>996</v>
      </c>
      <c r="G26" s="69" t="s">
        <v>930</v>
      </c>
    </row>
    <row r="27" spans="1:7">
      <c r="A27" s="78" t="s">
        <v>997</v>
      </c>
      <c r="B27" s="15" t="s">
        <v>137</v>
      </c>
      <c r="C27" s="15" t="s">
        <v>998</v>
      </c>
      <c r="D27" s="15" t="s">
        <v>31</v>
      </c>
      <c r="E27" s="15" t="s">
        <v>943</v>
      </c>
      <c r="F27" s="15" t="s">
        <v>999</v>
      </c>
      <c r="G27" s="68" t="s">
        <v>930</v>
      </c>
    </row>
    <row r="28" spans="1:7">
      <c r="A28" s="78" t="s">
        <v>997</v>
      </c>
      <c r="B28" s="18" t="s">
        <v>1000</v>
      </c>
      <c r="C28" s="18" t="s">
        <v>1001</v>
      </c>
      <c r="D28" s="18" t="s">
        <v>31</v>
      </c>
      <c r="E28" s="18" t="s">
        <v>943</v>
      </c>
      <c r="F28" s="18" t="s">
        <v>1002</v>
      </c>
      <c r="G28" s="69" t="s">
        <v>930</v>
      </c>
    </row>
    <row r="29" spans="1:7">
      <c r="A29" s="79" t="s">
        <v>1003</v>
      </c>
      <c r="B29" s="15" t="s">
        <v>1004</v>
      </c>
      <c r="C29" s="15" t="s">
        <v>1005</v>
      </c>
      <c r="D29" s="15" t="s">
        <v>31</v>
      </c>
      <c r="E29" s="15" t="s">
        <v>925</v>
      </c>
      <c r="F29" s="15" t="s">
        <v>1006</v>
      </c>
      <c r="G29" s="68" t="s">
        <v>930</v>
      </c>
    </row>
    <row r="30" spans="1:7">
      <c r="A30" s="79" t="s">
        <v>1003</v>
      </c>
      <c r="B30" s="18" t="s">
        <v>1007</v>
      </c>
      <c r="C30" s="18" t="s">
        <v>1008</v>
      </c>
      <c r="D30" s="18" t="s">
        <v>1009</v>
      </c>
      <c r="E30" s="18" t="s">
        <v>1010</v>
      </c>
      <c r="F30" s="18" t="s">
        <v>1011</v>
      </c>
      <c r="G30" s="69" t="s">
        <v>930</v>
      </c>
    </row>
    <row r="31" spans="1:7">
      <c r="A31" s="80" t="s">
        <v>1012</v>
      </c>
      <c r="B31" s="15" t="s">
        <v>1012</v>
      </c>
      <c r="C31" s="15" t="s">
        <v>1013</v>
      </c>
      <c r="D31" s="15" t="s">
        <v>705</v>
      </c>
      <c r="E31" s="15" t="s">
        <v>943</v>
      </c>
      <c r="F31" s="15" t="s">
        <v>943</v>
      </c>
      <c r="G31" s="68" t="s">
        <v>930</v>
      </c>
    </row>
  </sheetData>
  <mergeCells count="2">
    <mergeCell ref="A1:G1"/>
    <mergeCell ref="A2:G2"/>
  </mergeCells>
  <pageMargins left="0.7" right="0.7" top="0.75" bottom="0.75" header="0.3" footer="0.3"/>
  <pageSetup orientation="portrait"/>
  <headerFooter>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F096-9108-27B5-8C03-9F5733597F95}">
  <dimension ref="A1:AE26"/>
  <sheetViews>
    <sheetView topLeftCell="L1" workbookViewId="0">
      <pane ySplit="4" topLeftCell="A5" activePane="bottomLeft" state="frozen"/>
      <selection pane="bottomLeft" activeCell="V5" sqref="V5"/>
    </sheetView>
  </sheetViews>
  <sheetFormatPr defaultColWidth="8.85546875" defaultRowHeight="15" customHeight="1"/>
  <cols>
    <col min="1" max="1" width="5.7109375" customWidth="1"/>
    <col min="2" max="2" width="15.28515625" customWidth="1"/>
    <col min="3" max="3" width="6.85546875" customWidth="1"/>
    <col min="4" max="4" width="22.85546875" customWidth="1"/>
    <col min="5" max="5" width="17.140625" customWidth="1"/>
    <col min="6" max="6" width="7.5703125" customWidth="1"/>
    <col min="7" max="7" width="10.42578125" customWidth="1"/>
    <col min="8" max="8" width="5.7109375" customWidth="1"/>
    <col min="9" max="10" width="5.28515625" customWidth="1"/>
    <col min="11" max="12" width="8" customWidth="1"/>
    <col min="13" max="13" width="6.85546875" customWidth="1"/>
    <col min="14" max="14" width="7.28515625" customWidth="1"/>
    <col min="15" max="15" width="5.28515625" customWidth="1"/>
    <col min="16" max="17" width="6.42578125" customWidth="1"/>
    <col min="18" max="18" width="7.28515625" customWidth="1"/>
    <col min="19" max="19" width="6.85546875" customWidth="1"/>
    <col min="20" max="21" width="9.5703125" customWidth="1"/>
    <col min="22" max="23" width="6.85546875" customWidth="1"/>
    <col min="24" max="24" width="7.5703125" customWidth="1"/>
    <col min="25" max="25" width="8.42578125" customWidth="1"/>
    <col min="26" max="26" width="9.5703125" customWidth="1"/>
    <col min="27" max="29" width="5.7109375" customWidth="1"/>
    <col min="30" max="30" width="17.140625" customWidth="1"/>
    <col min="31" max="31" width="6.85546875" customWidth="1"/>
  </cols>
  <sheetData>
    <row r="1" spans="1:31" ht="21" customHeight="1">
      <c r="A1" s="198" t="s">
        <v>1014</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row>
    <row r="2" spans="1:31" ht="16.5" customHeight="1">
      <c r="A2" s="243" t="s">
        <v>1015</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row>
    <row r="3" spans="1:31" ht="15" customHeight="1">
      <c r="A3" s="10" t="s">
        <v>184</v>
      </c>
      <c r="B3" s="11" t="s">
        <v>185</v>
      </c>
    </row>
    <row r="4" spans="1:31" ht="27.95" customHeight="1">
      <c r="A4" s="81" t="s">
        <v>330</v>
      </c>
      <c r="B4" s="81" t="s">
        <v>1016</v>
      </c>
      <c r="C4" s="81" t="s">
        <v>1017</v>
      </c>
      <c r="D4" s="81" t="s">
        <v>410</v>
      </c>
      <c r="E4" s="81" t="s">
        <v>1018</v>
      </c>
      <c r="F4" s="81" t="s">
        <v>1019</v>
      </c>
      <c r="G4" s="81" t="s">
        <v>1020</v>
      </c>
      <c r="H4" s="81" t="s">
        <v>1021</v>
      </c>
      <c r="I4" s="81" t="s">
        <v>360</v>
      </c>
      <c r="J4" s="81" t="s">
        <v>1022</v>
      </c>
      <c r="K4" s="81" t="s">
        <v>1023</v>
      </c>
      <c r="L4" s="81" t="s">
        <v>1024</v>
      </c>
      <c r="M4" s="81" t="s">
        <v>1025</v>
      </c>
      <c r="N4" s="81" t="s">
        <v>1026</v>
      </c>
      <c r="O4" s="81" t="s">
        <v>1027</v>
      </c>
      <c r="P4" s="81" t="s">
        <v>1028</v>
      </c>
      <c r="Q4" s="81" t="s">
        <v>1029</v>
      </c>
      <c r="R4" s="81" t="s">
        <v>333</v>
      </c>
      <c r="S4" s="81" t="s">
        <v>1030</v>
      </c>
      <c r="T4" s="81" t="s">
        <v>1031</v>
      </c>
      <c r="U4" s="81" t="s">
        <v>1032</v>
      </c>
      <c r="V4" s="81" t="s">
        <v>1033</v>
      </c>
      <c r="W4" s="81" t="s">
        <v>1034</v>
      </c>
      <c r="X4" s="81" t="s">
        <v>1035</v>
      </c>
      <c r="Y4" s="81" t="s">
        <v>1036</v>
      </c>
      <c r="Z4" s="81" t="s">
        <v>1037</v>
      </c>
      <c r="AA4" s="81" t="s">
        <v>1038</v>
      </c>
      <c r="AB4" s="81" t="s">
        <v>1039</v>
      </c>
      <c r="AC4" s="81" t="s">
        <v>1040</v>
      </c>
      <c r="AD4" s="81" t="s">
        <v>78</v>
      </c>
      <c r="AE4" s="82" t="s">
        <v>1041</v>
      </c>
    </row>
    <row r="5" spans="1:31" ht="105">
      <c r="A5" s="81" t="s">
        <v>1042</v>
      </c>
      <c r="B5" s="566" t="s">
        <v>1043</v>
      </c>
      <c r="C5" s="81" t="s">
        <v>1044</v>
      </c>
      <c r="D5" s="566" t="s">
        <v>1045</v>
      </c>
      <c r="E5" s="566" t="s">
        <v>1046</v>
      </c>
      <c r="F5" s="81" t="s">
        <v>1047</v>
      </c>
      <c r="G5" s="81" t="s">
        <v>1048</v>
      </c>
      <c r="H5" s="81" t="s">
        <v>1049</v>
      </c>
      <c r="I5" s="81"/>
      <c r="J5" s="81" t="s">
        <v>1050</v>
      </c>
      <c r="K5" s="81" t="s">
        <v>24</v>
      </c>
      <c r="L5" s="81" t="s">
        <v>181</v>
      </c>
      <c r="M5" s="81" t="s">
        <v>1051</v>
      </c>
      <c r="N5" s="81" t="s">
        <v>1052</v>
      </c>
      <c r="O5" s="81" t="s">
        <v>1053</v>
      </c>
      <c r="P5" s="81" t="s">
        <v>1054</v>
      </c>
      <c r="Q5" s="83" t="s">
        <v>345</v>
      </c>
      <c r="R5" s="84" t="s">
        <v>346</v>
      </c>
      <c r="S5" s="81" t="s">
        <v>1055</v>
      </c>
      <c r="T5" s="81" t="s">
        <v>1056</v>
      </c>
      <c r="U5" s="81" t="s">
        <v>1057</v>
      </c>
      <c r="V5" s="81" t="s">
        <v>1058</v>
      </c>
      <c r="W5" s="81" t="s">
        <v>1059</v>
      </c>
      <c r="X5" s="81" t="s">
        <v>1060</v>
      </c>
      <c r="Y5" s="81" t="s">
        <v>1061</v>
      </c>
      <c r="Z5" s="81" t="s">
        <v>125</v>
      </c>
      <c r="AA5" s="81" t="s">
        <v>1062</v>
      </c>
      <c r="AB5" s="38" t="s">
        <v>1063</v>
      </c>
      <c r="AC5" s="38" t="s">
        <v>1064</v>
      </c>
      <c r="AD5" s="566" t="s">
        <v>1065</v>
      </c>
      <c r="AE5" s="29" t="str">
        <f t="shared" ref="AE5:AE26" ca="1" si="0">IF(AC5&lt;TODAY(),"Overdue",IF(AC5&lt;TODAY()+30,"Due Soon","Current"))</f>
        <v>Current</v>
      </c>
    </row>
    <row r="6" spans="1:31" ht="90">
      <c r="A6" s="81" t="s">
        <v>1066</v>
      </c>
      <c r="B6" s="566" t="s">
        <v>1067</v>
      </c>
      <c r="C6" s="81" t="s">
        <v>1068</v>
      </c>
      <c r="D6" s="566" t="s">
        <v>1069</v>
      </c>
      <c r="E6" s="566" t="s">
        <v>1070</v>
      </c>
      <c r="F6" s="81" t="s">
        <v>1047</v>
      </c>
      <c r="G6" s="81" t="s">
        <v>1071</v>
      </c>
      <c r="H6" s="81" t="s">
        <v>1049</v>
      </c>
      <c r="I6" s="81"/>
      <c r="J6" s="81" t="s">
        <v>1072</v>
      </c>
      <c r="K6" s="81" t="s">
        <v>299</v>
      </c>
      <c r="L6" s="81" t="s">
        <v>181</v>
      </c>
      <c r="M6" s="81" t="s">
        <v>1051</v>
      </c>
      <c r="N6" s="81" t="s">
        <v>1052</v>
      </c>
      <c r="O6" s="81" t="s">
        <v>1054</v>
      </c>
      <c r="P6" s="81" t="s">
        <v>1054</v>
      </c>
      <c r="Q6" s="83" t="s">
        <v>345</v>
      </c>
      <c r="R6" s="84" t="s">
        <v>346</v>
      </c>
      <c r="S6" s="81" t="s">
        <v>1055</v>
      </c>
      <c r="T6" s="81" t="s">
        <v>1073</v>
      </c>
      <c r="U6" s="81" t="s">
        <v>1074</v>
      </c>
      <c r="V6" s="81" t="s">
        <v>1075</v>
      </c>
      <c r="W6" s="81" t="s">
        <v>1076</v>
      </c>
      <c r="X6" s="81" t="s">
        <v>1077</v>
      </c>
      <c r="Y6" s="81" t="s">
        <v>1078</v>
      </c>
      <c r="Z6" s="81" t="s">
        <v>605</v>
      </c>
      <c r="AA6" s="81" t="s">
        <v>1079</v>
      </c>
      <c r="AB6" s="38" t="s">
        <v>1080</v>
      </c>
      <c r="AC6" s="38" t="s">
        <v>1081</v>
      </c>
      <c r="AD6" s="567" t="s">
        <v>1082</v>
      </c>
      <c r="AE6" s="32" t="str">
        <f t="shared" ca="1" si="0"/>
        <v>Current</v>
      </c>
    </row>
    <row r="7" spans="1:31" ht="90">
      <c r="A7" s="81" t="s">
        <v>1083</v>
      </c>
      <c r="B7" s="566" t="s">
        <v>1084</v>
      </c>
      <c r="C7" s="81" t="s">
        <v>1068</v>
      </c>
      <c r="D7" s="566" t="s">
        <v>1085</v>
      </c>
      <c r="E7" s="566" t="s">
        <v>1086</v>
      </c>
      <c r="F7" s="81" t="s">
        <v>1087</v>
      </c>
      <c r="G7" s="81" t="s">
        <v>1088</v>
      </c>
      <c r="H7" s="81" t="s">
        <v>1089</v>
      </c>
      <c r="I7" s="81" t="s">
        <v>1090</v>
      </c>
      <c r="J7" s="81" t="s">
        <v>1091</v>
      </c>
      <c r="K7" s="81" t="s">
        <v>269</v>
      </c>
      <c r="L7" s="81" t="s">
        <v>68</v>
      </c>
      <c r="M7" s="81" t="s">
        <v>1051</v>
      </c>
      <c r="N7" s="81" t="s">
        <v>1092</v>
      </c>
      <c r="O7" s="81" t="s">
        <v>1054</v>
      </c>
      <c r="P7" s="81" t="s">
        <v>1054</v>
      </c>
      <c r="Q7" s="83" t="s">
        <v>345</v>
      </c>
      <c r="R7" s="84" t="s">
        <v>346</v>
      </c>
      <c r="S7" s="81" t="s">
        <v>1055</v>
      </c>
      <c r="T7" s="81" t="s">
        <v>1093</v>
      </c>
      <c r="U7" s="81" t="s">
        <v>1094</v>
      </c>
      <c r="V7" s="81" t="s">
        <v>1095</v>
      </c>
      <c r="W7" s="81" t="s">
        <v>1096</v>
      </c>
      <c r="X7" s="81"/>
      <c r="Y7" s="81" t="s">
        <v>546</v>
      </c>
      <c r="Z7" s="81" t="s">
        <v>605</v>
      </c>
      <c r="AA7" s="81" t="s">
        <v>1097</v>
      </c>
      <c r="AB7" s="38" t="s">
        <v>1098</v>
      </c>
      <c r="AC7" s="38" t="s">
        <v>1099</v>
      </c>
      <c r="AD7" s="566" t="s">
        <v>1100</v>
      </c>
      <c r="AE7" s="29" t="str">
        <f t="shared" ca="1" si="0"/>
        <v>Current</v>
      </c>
    </row>
    <row r="8" spans="1:31" ht="105">
      <c r="A8" s="81" t="s">
        <v>343</v>
      </c>
      <c r="B8" s="566" t="s">
        <v>344</v>
      </c>
      <c r="C8" s="81" t="s">
        <v>1101</v>
      </c>
      <c r="D8" s="566" t="s">
        <v>1102</v>
      </c>
      <c r="E8" s="566" t="s">
        <v>1103</v>
      </c>
      <c r="F8" s="81" t="s">
        <v>1104</v>
      </c>
      <c r="G8" s="81" t="s">
        <v>1105</v>
      </c>
      <c r="H8" s="81" t="s">
        <v>1106</v>
      </c>
      <c r="I8" s="81" t="s">
        <v>364</v>
      </c>
      <c r="J8" s="81" t="s">
        <v>1107</v>
      </c>
      <c r="K8" s="81" t="s">
        <v>150</v>
      </c>
      <c r="L8" s="81" t="s">
        <v>181</v>
      </c>
      <c r="M8" s="81" t="s">
        <v>1051</v>
      </c>
      <c r="N8" s="81" t="s">
        <v>1052</v>
      </c>
      <c r="O8" s="81" t="s">
        <v>1054</v>
      </c>
      <c r="P8" s="81" t="s">
        <v>1054</v>
      </c>
      <c r="Q8" s="83" t="s">
        <v>345</v>
      </c>
      <c r="R8" s="84" t="s">
        <v>346</v>
      </c>
      <c r="S8" s="81" t="s">
        <v>1108</v>
      </c>
      <c r="T8" s="81" t="s">
        <v>1109</v>
      </c>
      <c r="U8" s="81" t="s">
        <v>1110</v>
      </c>
      <c r="V8" s="81" t="s">
        <v>1111</v>
      </c>
      <c r="W8" s="81" t="s">
        <v>1112</v>
      </c>
      <c r="X8" s="81" t="s">
        <v>1113</v>
      </c>
      <c r="Y8" s="81" t="s">
        <v>1114</v>
      </c>
      <c r="Z8" s="81" t="s">
        <v>125</v>
      </c>
      <c r="AA8" s="81" t="s">
        <v>1115</v>
      </c>
      <c r="AB8" s="38" t="s">
        <v>1116</v>
      </c>
      <c r="AC8" s="38" t="s">
        <v>1117</v>
      </c>
      <c r="AD8" s="567" t="s">
        <v>1118</v>
      </c>
      <c r="AE8" s="32" t="str">
        <f t="shared" ca="1" si="0"/>
        <v>Current</v>
      </c>
    </row>
    <row r="9" spans="1:31" ht="90">
      <c r="A9" s="81" t="s">
        <v>1119</v>
      </c>
      <c r="B9" s="566" t="s">
        <v>1120</v>
      </c>
      <c r="C9" s="81" t="s">
        <v>1068</v>
      </c>
      <c r="D9" s="566" t="s">
        <v>1121</v>
      </c>
      <c r="E9" s="566" t="s">
        <v>1122</v>
      </c>
      <c r="F9" s="81" t="s">
        <v>1123</v>
      </c>
      <c r="G9" s="81" t="s">
        <v>1124</v>
      </c>
      <c r="H9" s="81" t="s">
        <v>1089</v>
      </c>
      <c r="I9" s="81" t="s">
        <v>367</v>
      </c>
      <c r="J9" s="81" t="s">
        <v>1125</v>
      </c>
      <c r="K9" s="81" t="s">
        <v>299</v>
      </c>
      <c r="L9" s="81" t="s">
        <v>68</v>
      </c>
      <c r="M9" s="81" t="s">
        <v>1051</v>
      </c>
      <c r="N9" s="81" t="s">
        <v>1052</v>
      </c>
      <c r="O9" s="81" t="s">
        <v>1054</v>
      </c>
      <c r="P9" s="81" t="s">
        <v>1053</v>
      </c>
      <c r="Q9" s="85" t="s">
        <v>337</v>
      </c>
      <c r="R9" s="84" t="s">
        <v>346</v>
      </c>
      <c r="S9" s="81" t="s">
        <v>1055</v>
      </c>
      <c r="T9" s="81" t="s">
        <v>1126</v>
      </c>
      <c r="U9" s="81" t="s">
        <v>1127</v>
      </c>
      <c r="V9" s="81" t="s">
        <v>1128</v>
      </c>
      <c r="W9" s="81" t="s">
        <v>1129</v>
      </c>
      <c r="X9" s="81" t="s">
        <v>1130</v>
      </c>
      <c r="Y9" s="81" t="s">
        <v>1131</v>
      </c>
      <c r="Z9" s="81" t="s">
        <v>125</v>
      </c>
      <c r="AA9" s="81" t="s">
        <v>1132</v>
      </c>
      <c r="AB9" s="38" t="s">
        <v>1133</v>
      </c>
      <c r="AC9" s="38" t="s">
        <v>1134</v>
      </c>
      <c r="AD9" s="566" t="s">
        <v>1135</v>
      </c>
      <c r="AE9" s="29" t="str">
        <f t="shared" ca="1" si="0"/>
        <v>Current</v>
      </c>
    </row>
    <row r="10" spans="1:31" ht="75">
      <c r="A10" s="81" t="s">
        <v>1136</v>
      </c>
      <c r="B10" s="566" t="s">
        <v>1137</v>
      </c>
      <c r="C10" s="81" t="s">
        <v>1138</v>
      </c>
      <c r="D10" s="566" t="s">
        <v>1139</v>
      </c>
      <c r="E10" s="566" t="s">
        <v>1140</v>
      </c>
      <c r="F10" s="81" t="s">
        <v>1104</v>
      </c>
      <c r="G10" s="81" t="s">
        <v>1141</v>
      </c>
      <c r="H10" s="81" t="s">
        <v>1106</v>
      </c>
      <c r="I10" s="81" t="s">
        <v>364</v>
      </c>
      <c r="J10" s="81" t="s">
        <v>1142</v>
      </c>
      <c r="K10" s="81" t="s">
        <v>173</v>
      </c>
      <c r="L10" s="81" t="s">
        <v>181</v>
      </c>
      <c r="M10" s="81" t="s">
        <v>1051</v>
      </c>
      <c r="N10" s="81" t="s">
        <v>1071</v>
      </c>
      <c r="O10" s="81" t="s">
        <v>1054</v>
      </c>
      <c r="P10" s="81" t="s">
        <v>1053</v>
      </c>
      <c r="Q10" s="85" t="s">
        <v>337</v>
      </c>
      <c r="R10" s="84" t="s">
        <v>346</v>
      </c>
      <c r="S10" s="81" t="s">
        <v>1108</v>
      </c>
      <c r="T10" s="81" t="s">
        <v>1143</v>
      </c>
      <c r="U10" s="81" t="s">
        <v>1144</v>
      </c>
      <c r="V10" s="81" t="s">
        <v>1145</v>
      </c>
      <c r="W10" s="81" t="s">
        <v>1146</v>
      </c>
      <c r="X10" s="81" t="s">
        <v>1147</v>
      </c>
      <c r="Y10" s="81" t="s">
        <v>533</v>
      </c>
      <c r="Z10" s="81" t="s">
        <v>125</v>
      </c>
      <c r="AA10" s="81" t="s">
        <v>1148</v>
      </c>
      <c r="AB10" s="38" t="s">
        <v>1149</v>
      </c>
      <c r="AC10" s="38" t="s">
        <v>1150</v>
      </c>
      <c r="AD10" s="567" t="s">
        <v>1151</v>
      </c>
      <c r="AE10" s="32" t="str">
        <f t="shared" ca="1" si="0"/>
        <v>Current</v>
      </c>
    </row>
    <row r="11" spans="1:31" ht="75">
      <c r="A11" s="81" t="s">
        <v>335</v>
      </c>
      <c r="B11" s="566" t="s">
        <v>336</v>
      </c>
      <c r="C11" s="81" t="s">
        <v>326</v>
      </c>
      <c r="D11" s="566" t="s">
        <v>1152</v>
      </c>
      <c r="E11" s="566" t="s">
        <v>1153</v>
      </c>
      <c r="F11" s="81" t="s">
        <v>1104</v>
      </c>
      <c r="G11" s="81" t="s">
        <v>1154</v>
      </c>
      <c r="H11" s="81" t="s">
        <v>1089</v>
      </c>
      <c r="I11" s="81" t="s">
        <v>364</v>
      </c>
      <c r="J11" s="81" t="s">
        <v>1155</v>
      </c>
      <c r="K11" s="81" t="s">
        <v>284</v>
      </c>
      <c r="L11" s="81" t="s">
        <v>68</v>
      </c>
      <c r="M11" s="81" t="s">
        <v>1051</v>
      </c>
      <c r="N11" s="81" t="s">
        <v>1052</v>
      </c>
      <c r="O11" s="81" t="s">
        <v>1053</v>
      </c>
      <c r="P11" s="81" t="s">
        <v>1053</v>
      </c>
      <c r="Q11" s="85" t="s">
        <v>337</v>
      </c>
      <c r="R11" s="86" t="s">
        <v>338</v>
      </c>
      <c r="S11" s="81" t="s">
        <v>1108</v>
      </c>
      <c r="T11" s="81" t="s">
        <v>1156</v>
      </c>
      <c r="U11" s="81" t="s">
        <v>981</v>
      </c>
      <c r="V11" s="81" t="s">
        <v>1145</v>
      </c>
      <c r="W11" s="81" t="s">
        <v>1157</v>
      </c>
      <c r="X11" s="81"/>
      <c r="Y11" s="81" t="s">
        <v>1158</v>
      </c>
      <c r="Z11" s="81" t="s">
        <v>125</v>
      </c>
      <c r="AA11" s="81" t="s">
        <v>1159</v>
      </c>
      <c r="AB11" s="38" t="s">
        <v>1160</v>
      </c>
      <c r="AC11" s="38" t="s">
        <v>1161</v>
      </c>
      <c r="AD11" s="566" t="s">
        <v>1162</v>
      </c>
      <c r="AE11" s="29" t="str">
        <f t="shared" ca="1" si="0"/>
        <v>Current</v>
      </c>
    </row>
    <row r="12" spans="1:31" ht="90">
      <c r="A12" s="81" t="s">
        <v>1163</v>
      </c>
      <c r="B12" s="566" t="s">
        <v>1164</v>
      </c>
      <c r="C12" s="81" t="s">
        <v>1165</v>
      </c>
      <c r="D12" s="566" t="s">
        <v>1166</v>
      </c>
      <c r="E12" s="566" t="s">
        <v>1167</v>
      </c>
      <c r="F12" s="81" t="s">
        <v>1104</v>
      </c>
      <c r="G12" s="81" t="s">
        <v>1168</v>
      </c>
      <c r="H12" s="81" t="s">
        <v>1106</v>
      </c>
      <c r="I12" s="81" t="s">
        <v>364</v>
      </c>
      <c r="J12" s="81" t="s">
        <v>734</v>
      </c>
      <c r="K12" s="81" t="s">
        <v>262</v>
      </c>
      <c r="L12" s="81" t="s">
        <v>68</v>
      </c>
      <c r="M12" s="81" t="s">
        <v>1051</v>
      </c>
      <c r="N12" s="81" t="s">
        <v>1071</v>
      </c>
      <c r="O12" s="81" t="s">
        <v>1053</v>
      </c>
      <c r="P12" s="81" t="s">
        <v>1053</v>
      </c>
      <c r="Q12" s="87" t="s">
        <v>1169</v>
      </c>
      <c r="R12" s="84" t="s">
        <v>346</v>
      </c>
      <c r="S12" s="81" t="s">
        <v>1055</v>
      </c>
      <c r="T12" s="81" t="s">
        <v>1170</v>
      </c>
      <c r="U12" s="81" t="s">
        <v>1171</v>
      </c>
      <c r="V12" s="81" t="s">
        <v>1145</v>
      </c>
      <c r="W12" s="81" t="s">
        <v>1157</v>
      </c>
      <c r="X12" s="81"/>
      <c r="Y12" s="81" t="s">
        <v>634</v>
      </c>
      <c r="Z12" s="81" t="s">
        <v>125</v>
      </c>
      <c r="AA12" s="81" t="s">
        <v>478</v>
      </c>
      <c r="AB12" s="38" t="s">
        <v>1172</v>
      </c>
      <c r="AC12" s="38" t="s">
        <v>1173</v>
      </c>
      <c r="AD12" s="567" t="s">
        <v>1174</v>
      </c>
      <c r="AE12" s="32" t="str">
        <f t="shared" ca="1" si="0"/>
        <v>Current</v>
      </c>
    </row>
    <row r="13" spans="1:31" ht="75">
      <c r="A13" s="81" t="s">
        <v>1175</v>
      </c>
      <c r="B13" s="566" t="s">
        <v>1176</v>
      </c>
      <c r="C13" s="81" t="s">
        <v>740</v>
      </c>
      <c r="D13" s="566" t="s">
        <v>1177</v>
      </c>
      <c r="E13" s="566" t="s">
        <v>1178</v>
      </c>
      <c r="F13" s="81" t="s">
        <v>1047</v>
      </c>
      <c r="G13" s="81" t="s">
        <v>1179</v>
      </c>
      <c r="H13" s="81" t="s">
        <v>1049</v>
      </c>
      <c r="I13" s="81"/>
      <c r="J13" s="81" t="s">
        <v>741</v>
      </c>
      <c r="K13" s="81" t="s">
        <v>68</v>
      </c>
      <c r="L13" s="81" t="s">
        <v>68</v>
      </c>
      <c r="M13" s="81" t="s">
        <v>1051</v>
      </c>
      <c r="N13" s="81" t="s">
        <v>1071</v>
      </c>
      <c r="O13" s="81" t="s">
        <v>1053</v>
      </c>
      <c r="P13" s="81" t="s">
        <v>1053</v>
      </c>
      <c r="Q13" s="83" t="s">
        <v>345</v>
      </c>
      <c r="R13" s="84" t="s">
        <v>346</v>
      </c>
      <c r="S13" s="81" t="s">
        <v>1055</v>
      </c>
      <c r="T13" s="81" t="s">
        <v>1180</v>
      </c>
      <c r="U13" s="81" t="s">
        <v>1181</v>
      </c>
      <c r="V13" s="81" t="s">
        <v>1182</v>
      </c>
      <c r="W13" s="81" t="s">
        <v>1183</v>
      </c>
      <c r="X13" s="81" t="s">
        <v>1184</v>
      </c>
      <c r="Y13" s="81" t="s">
        <v>530</v>
      </c>
      <c r="Z13" s="81" t="s">
        <v>605</v>
      </c>
      <c r="AA13" s="81" t="s">
        <v>1185</v>
      </c>
      <c r="AB13" s="38" t="s">
        <v>1186</v>
      </c>
      <c r="AC13" s="38" t="s">
        <v>126</v>
      </c>
      <c r="AD13" s="566" t="s">
        <v>1187</v>
      </c>
      <c r="AE13" s="29" t="str">
        <f t="shared" ca="1" si="0"/>
        <v>Current</v>
      </c>
    </row>
    <row r="14" spans="1:31" ht="60">
      <c r="A14" s="81" t="s">
        <v>1188</v>
      </c>
      <c r="B14" s="566" t="s">
        <v>1189</v>
      </c>
      <c r="C14" s="81" t="s">
        <v>1190</v>
      </c>
      <c r="D14" s="566" t="s">
        <v>1191</v>
      </c>
      <c r="E14" s="566" t="s">
        <v>1192</v>
      </c>
      <c r="F14" s="81" t="s">
        <v>1047</v>
      </c>
      <c r="G14" s="81" t="s">
        <v>1071</v>
      </c>
      <c r="H14" s="81" t="s">
        <v>1049</v>
      </c>
      <c r="I14" s="81"/>
      <c r="J14" s="81" t="s">
        <v>1050</v>
      </c>
      <c r="K14" s="81" t="s">
        <v>269</v>
      </c>
      <c r="L14" s="81" t="s">
        <v>68</v>
      </c>
      <c r="M14" s="81" t="s">
        <v>1051</v>
      </c>
      <c r="N14" s="81" t="s">
        <v>1052</v>
      </c>
      <c r="O14" s="81" t="s">
        <v>1054</v>
      </c>
      <c r="P14" s="81" t="s">
        <v>1054</v>
      </c>
      <c r="Q14" s="83" t="s">
        <v>345</v>
      </c>
      <c r="R14" s="84" t="s">
        <v>346</v>
      </c>
      <c r="S14" s="81" t="s">
        <v>1055</v>
      </c>
      <c r="T14" s="81" t="s">
        <v>1193</v>
      </c>
      <c r="U14" s="81" t="s">
        <v>1194</v>
      </c>
      <c r="V14" s="81" t="s">
        <v>1195</v>
      </c>
      <c r="W14" s="81" t="s">
        <v>1059</v>
      </c>
      <c r="X14" s="81" t="s">
        <v>1060</v>
      </c>
      <c r="Y14" s="81" t="s">
        <v>1196</v>
      </c>
      <c r="Z14" s="81" t="s">
        <v>605</v>
      </c>
      <c r="AA14" s="81" t="s">
        <v>1197</v>
      </c>
      <c r="AB14" s="38" t="s">
        <v>1198</v>
      </c>
      <c r="AC14" s="38" t="s">
        <v>1199</v>
      </c>
      <c r="AD14" s="567" t="s">
        <v>1200</v>
      </c>
      <c r="AE14" s="32" t="str">
        <f t="shared" ca="1" si="0"/>
        <v>Current</v>
      </c>
    </row>
    <row r="15" spans="1:31" ht="90">
      <c r="A15" s="81" t="s">
        <v>351</v>
      </c>
      <c r="B15" s="566" t="s">
        <v>352</v>
      </c>
      <c r="C15" s="81" t="s">
        <v>1101</v>
      </c>
      <c r="D15" s="566" t="s">
        <v>1201</v>
      </c>
      <c r="E15" s="566" t="s">
        <v>1202</v>
      </c>
      <c r="F15" s="81" t="s">
        <v>1123</v>
      </c>
      <c r="G15" s="81" t="s">
        <v>1124</v>
      </c>
      <c r="H15" s="81" t="s">
        <v>1089</v>
      </c>
      <c r="I15" s="81" t="s">
        <v>1203</v>
      </c>
      <c r="J15" s="81" t="s">
        <v>1107</v>
      </c>
      <c r="K15" s="81" t="s">
        <v>150</v>
      </c>
      <c r="L15" s="81" t="s">
        <v>68</v>
      </c>
      <c r="M15" s="81" t="s">
        <v>1051</v>
      </c>
      <c r="N15" s="81" t="s">
        <v>1092</v>
      </c>
      <c r="O15" s="81" t="s">
        <v>1054</v>
      </c>
      <c r="P15" s="81" t="s">
        <v>1054</v>
      </c>
      <c r="Q15" s="83" t="s">
        <v>345</v>
      </c>
      <c r="R15" s="84" t="s">
        <v>346</v>
      </c>
      <c r="S15" s="81" t="s">
        <v>1055</v>
      </c>
      <c r="T15" s="81" t="s">
        <v>1204</v>
      </c>
      <c r="U15" s="81" t="s">
        <v>1205</v>
      </c>
      <c r="V15" s="81" t="s">
        <v>1111</v>
      </c>
      <c r="W15" s="81" t="s">
        <v>1206</v>
      </c>
      <c r="X15" s="81"/>
      <c r="Y15" s="81" t="s">
        <v>1078</v>
      </c>
      <c r="Z15" s="81" t="s">
        <v>125</v>
      </c>
      <c r="AA15" s="81" t="s">
        <v>1207</v>
      </c>
      <c r="AB15" s="38" t="s">
        <v>1208</v>
      </c>
      <c r="AC15" s="38" t="s">
        <v>1209</v>
      </c>
      <c r="AD15" s="566" t="s">
        <v>1210</v>
      </c>
      <c r="AE15" s="29" t="str">
        <f t="shared" ca="1" si="0"/>
        <v>Current</v>
      </c>
    </row>
    <row r="16" spans="1:31" ht="60">
      <c r="A16" s="81" t="s">
        <v>1211</v>
      </c>
      <c r="B16" s="566" t="s">
        <v>1212</v>
      </c>
      <c r="C16" s="81" t="s">
        <v>567</v>
      </c>
      <c r="D16" s="566" t="s">
        <v>1213</v>
      </c>
      <c r="E16" s="566" t="s">
        <v>1214</v>
      </c>
      <c r="F16" s="81" t="s">
        <v>1123</v>
      </c>
      <c r="G16" s="81" t="s">
        <v>1071</v>
      </c>
      <c r="H16" s="81" t="s">
        <v>1049</v>
      </c>
      <c r="I16" s="81"/>
      <c r="J16" s="81" t="s">
        <v>1215</v>
      </c>
      <c r="K16" s="81" t="s">
        <v>1216</v>
      </c>
      <c r="L16" s="81" t="s">
        <v>68</v>
      </c>
      <c r="M16" s="81" t="s">
        <v>1051</v>
      </c>
      <c r="N16" s="81" t="s">
        <v>1071</v>
      </c>
      <c r="O16" s="81" t="s">
        <v>1053</v>
      </c>
      <c r="P16" s="81" t="s">
        <v>1053</v>
      </c>
      <c r="Q16" s="87" t="s">
        <v>1169</v>
      </c>
      <c r="R16" s="84" t="s">
        <v>346</v>
      </c>
      <c r="S16" s="81" t="s">
        <v>1055</v>
      </c>
      <c r="T16" s="81" t="s">
        <v>1217</v>
      </c>
      <c r="U16" s="81" t="s">
        <v>1127</v>
      </c>
      <c r="V16" s="81" t="s">
        <v>1128</v>
      </c>
      <c r="W16" s="81" t="s">
        <v>1129</v>
      </c>
      <c r="X16" s="81"/>
      <c r="Y16" s="81" t="s">
        <v>1131</v>
      </c>
      <c r="Z16" s="81" t="s">
        <v>125</v>
      </c>
      <c r="AA16" s="81" t="s">
        <v>1218</v>
      </c>
      <c r="AB16" s="38" t="s">
        <v>1219</v>
      </c>
      <c r="AC16" s="38" t="s">
        <v>1220</v>
      </c>
      <c r="AD16" s="567" t="s">
        <v>1221</v>
      </c>
      <c r="AE16" s="32" t="str">
        <f t="shared" ca="1" si="0"/>
        <v>Current</v>
      </c>
    </row>
    <row r="17" spans="1:31" ht="75">
      <c r="A17" s="81" t="s">
        <v>348</v>
      </c>
      <c r="B17" s="566" t="s">
        <v>349</v>
      </c>
      <c r="C17" s="81" t="s">
        <v>1101</v>
      </c>
      <c r="D17" s="566" t="s">
        <v>1222</v>
      </c>
      <c r="E17" s="566" t="s">
        <v>1223</v>
      </c>
      <c r="F17" s="81" t="s">
        <v>1104</v>
      </c>
      <c r="G17" s="81" t="s">
        <v>1141</v>
      </c>
      <c r="H17" s="81" t="s">
        <v>1106</v>
      </c>
      <c r="I17" s="81" t="s">
        <v>364</v>
      </c>
      <c r="J17" s="81" t="s">
        <v>734</v>
      </c>
      <c r="K17" s="81" t="s">
        <v>150</v>
      </c>
      <c r="L17" s="81" t="s">
        <v>181</v>
      </c>
      <c r="M17" s="81" t="s">
        <v>1051</v>
      </c>
      <c r="N17" s="81" t="s">
        <v>1224</v>
      </c>
      <c r="O17" s="81" t="s">
        <v>1053</v>
      </c>
      <c r="P17" s="81" t="s">
        <v>1054</v>
      </c>
      <c r="Q17" s="85" t="s">
        <v>337</v>
      </c>
      <c r="R17" s="84" t="s">
        <v>346</v>
      </c>
      <c r="S17" s="81" t="s">
        <v>1108</v>
      </c>
      <c r="T17" s="81" t="s">
        <v>1225</v>
      </c>
      <c r="U17" s="81" t="s">
        <v>1226</v>
      </c>
      <c r="V17" s="81" t="s">
        <v>1227</v>
      </c>
      <c r="W17" s="81" t="s">
        <v>1228</v>
      </c>
      <c r="X17" s="81" t="s">
        <v>1229</v>
      </c>
      <c r="Y17" s="81" t="s">
        <v>543</v>
      </c>
      <c r="Z17" s="81" t="s">
        <v>125</v>
      </c>
      <c r="AA17" s="81" t="s">
        <v>1230</v>
      </c>
      <c r="AB17" s="38" t="s">
        <v>1231</v>
      </c>
      <c r="AC17" s="38" t="s">
        <v>1232</v>
      </c>
      <c r="AD17" s="566" t="s">
        <v>1233</v>
      </c>
      <c r="AE17" s="29" t="str">
        <f t="shared" ca="1" si="0"/>
        <v>Current</v>
      </c>
    </row>
    <row r="18" spans="1:31" ht="75">
      <c r="A18" s="81" t="s">
        <v>1234</v>
      </c>
      <c r="B18" s="566" t="s">
        <v>1235</v>
      </c>
      <c r="C18" s="81" t="s">
        <v>1165</v>
      </c>
      <c r="D18" s="566" t="s">
        <v>1236</v>
      </c>
      <c r="E18" s="566" t="s">
        <v>1237</v>
      </c>
      <c r="F18" s="81" t="s">
        <v>1047</v>
      </c>
      <c r="G18" s="81" t="s">
        <v>1238</v>
      </c>
      <c r="H18" s="81" t="s">
        <v>1106</v>
      </c>
      <c r="I18" s="81" t="s">
        <v>1239</v>
      </c>
      <c r="J18" s="81" t="s">
        <v>1240</v>
      </c>
      <c r="K18" s="81" t="s">
        <v>262</v>
      </c>
      <c r="L18" s="81" t="s">
        <v>68</v>
      </c>
      <c r="M18" s="81" t="s">
        <v>1051</v>
      </c>
      <c r="N18" s="81" t="s">
        <v>1092</v>
      </c>
      <c r="O18" s="81" t="s">
        <v>1054</v>
      </c>
      <c r="P18" s="81" t="s">
        <v>1053</v>
      </c>
      <c r="Q18" s="83" t="s">
        <v>345</v>
      </c>
      <c r="R18" s="84" t="s">
        <v>346</v>
      </c>
      <c r="S18" s="81" t="s">
        <v>1055</v>
      </c>
      <c r="T18" s="81" t="s">
        <v>1241</v>
      </c>
      <c r="U18" s="81" t="s">
        <v>1094</v>
      </c>
      <c r="V18" s="81" t="s">
        <v>1095</v>
      </c>
      <c r="W18" s="81" t="s">
        <v>1096</v>
      </c>
      <c r="X18" s="81"/>
      <c r="Y18" s="81" t="s">
        <v>546</v>
      </c>
      <c r="Z18" s="81" t="s">
        <v>605</v>
      </c>
      <c r="AA18" s="81" t="s">
        <v>1242</v>
      </c>
      <c r="AB18" s="38" t="s">
        <v>1243</v>
      </c>
      <c r="AC18" s="38" t="s">
        <v>1244</v>
      </c>
      <c r="AD18" s="567" t="s">
        <v>1245</v>
      </c>
      <c r="AE18" s="32" t="str">
        <f t="shared" ca="1" si="0"/>
        <v>Current</v>
      </c>
    </row>
    <row r="19" spans="1:31" ht="75">
      <c r="A19" s="81" t="s">
        <v>1246</v>
      </c>
      <c r="B19" s="566" t="s">
        <v>1247</v>
      </c>
      <c r="C19" s="81" t="s">
        <v>567</v>
      </c>
      <c r="D19" s="566" t="s">
        <v>1248</v>
      </c>
      <c r="E19" s="566" t="s">
        <v>1249</v>
      </c>
      <c r="F19" s="81" t="s">
        <v>1047</v>
      </c>
      <c r="G19" s="81" t="s">
        <v>1071</v>
      </c>
      <c r="H19" s="81" t="s">
        <v>1049</v>
      </c>
      <c r="I19" s="81"/>
      <c r="J19" s="81" t="s">
        <v>1250</v>
      </c>
      <c r="K19" s="81" t="s">
        <v>1216</v>
      </c>
      <c r="L19" s="81" t="s">
        <v>68</v>
      </c>
      <c r="M19" s="81" t="s">
        <v>1051</v>
      </c>
      <c r="N19" s="81" t="s">
        <v>1052</v>
      </c>
      <c r="O19" s="81" t="s">
        <v>1054</v>
      </c>
      <c r="P19" s="81" t="s">
        <v>1053</v>
      </c>
      <c r="Q19" s="85" t="s">
        <v>337</v>
      </c>
      <c r="R19" s="84" t="s">
        <v>346</v>
      </c>
      <c r="S19" s="81" t="s">
        <v>1055</v>
      </c>
      <c r="T19" s="81" t="s">
        <v>1251</v>
      </c>
      <c r="U19" s="81" t="s">
        <v>1252</v>
      </c>
      <c r="V19" s="81" t="s">
        <v>1195</v>
      </c>
      <c r="W19" s="81" t="s">
        <v>1253</v>
      </c>
      <c r="X19" s="81"/>
      <c r="Y19" s="81" t="s">
        <v>1196</v>
      </c>
      <c r="Z19" s="81" t="s">
        <v>605</v>
      </c>
      <c r="AA19" s="81" t="s">
        <v>1254</v>
      </c>
      <c r="AB19" s="38" t="s">
        <v>1255</v>
      </c>
      <c r="AC19" s="38" t="s">
        <v>1256</v>
      </c>
      <c r="AD19" s="566" t="s">
        <v>1257</v>
      </c>
      <c r="AE19" s="29" t="str">
        <f t="shared" ca="1" si="0"/>
        <v>Current</v>
      </c>
    </row>
    <row r="20" spans="1:31" ht="75">
      <c r="A20" s="81" t="s">
        <v>340</v>
      </c>
      <c r="B20" s="566" t="s">
        <v>341</v>
      </c>
      <c r="C20" s="81" t="s">
        <v>1258</v>
      </c>
      <c r="D20" s="566" t="s">
        <v>1259</v>
      </c>
      <c r="E20" s="566" t="s">
        <v>1260</v>
      </c>
      <c r="F20" s="81" t="s">
        <v>1104</v>
      </c>
      <c r="G20" s="81" t="s">
        <v>1141</v>
      </c>
      <c r="H20" s="81" t="s">
        <v>1106</v>
      </c>
      <c r="I20" s="81" t="s">
        <v>364</v>
      </c>
      <c r="J20" s="81" t="s">
        <v>1142</v>
      </c>
      <c r="K20" s="81" t="s">
        <v>1261</v>
      </c>
      <c r="L20" s="81" t="s">
        <v>181</v>
      </c>
      <c r="M20" s="81" t="s">
        <v>1051</v>
      </c>
      <c r="N20" s="81" t="s">
        <v>1052</v>
      </c>
      <c r="O20" s="81" t="s">
        <v>1054</v>
      </c>
      <c r="P20" s="81" t="s">
        <v>1053</v>
      </c>
      <c r="Q20" s="85" t="s">
        <v>337</v>
      </c>
      <c r="R20" s="86" t="s">
        <v>338</v>
      </c>
      <c r="S20" s="81" t="s">
        <v>1108</v>
      </c>
      <c r="T20" s="81" t="s">
        <v>1262</v>
      </c>
      <c r="U20" s="81" t="s">
        <v>1263</v>
      </c>
      <c r="V20" s="81" t="s">
        <v>1145</v>
      </c>
      <c r="W20" s="81" t="s">
        <v>1228</v>
      </c>
      <c r="X20" s="81"/>
      <c r="Y20" s="81" t="s">
        <v>634</v>
      </c>
      <c r="Z20" s="81" t="s">
        <v>125</v>
      </c>
      <c r="AA20" s="81" t="s">
        <v>1264</v>
      </c>
      <c r="AB20" s="38" t="s">
        <v>1265</v>
      </c>
      <c r="AC20" s="38" t="s">
        <v>1266</v>
      </c>
      <c r="AD20" s="567" t="s">
        <v>1267</v>
      </c>
      <c r="AE20" s="32" t="str">
        <f t="shared" ca="1" si="0"/>
        <v>Current</v>
      </c>
    </row>
    <row r="21" spans="1:31" ht="60">
      <c r="A21" s="81" t="s">
        <v>1268</v>
      </c>
      <c r="B21" s="566" t="s">
        <v>1269</v>
      </c>
      <c r="C21" s="81" t="s">
        <v>1138</v>
      </c>
      <c r="D21" s="566" t="s">
        <v>1270</v>
      </c>
      <c r="E21" s="566" t="s">
        <v>1271</v>
      </c>
      <c r="F21" s="81" t="s">
        <v>1104</v>
      </c>
      <c r="G21" s="81" t="s">
        <v>1238</v>
      </c>
      <c r="H21" s="81" t="s">
        <v>1106</v>
      </c>
      <c r="I21" s="81" t="s">
        <v>1272</v>
      </c>
      <c r="J21" s="81" t="s">
        <v>729</v>
      </c>
      <c r="K21" s="81" t="s">
        <v>173</v>
      </c>
      <c r="L21" s="81" t="s">
        <v>68</v>
      </c>
      <c r="M21" s="81" t="s">
        <v>1051</v>
      </c>
      <c r="N21" s="81" t="s">
        <v>1092</v>
      </c>
      <c r="O21" s="81" t="s">
        <v>1053</v>
      </c>
      <c r="P21" s="81" t="s">
        <v>1053</v>
      </c>
      <c r="Q21" s="83" t="s">
        <v>345</v>
      </c>
      <c r="R21" s="84" t="s">
        <v>346</v>
      </c>
      <c r="S21" s="81" t="s">
        <v>1055</v>
      </c>
      <c r="T21" s="81" t="s">
        <v>1273</v>
      </c>
      <c r="U21" s="81" t="s">
        <v>1226</v>
      </c>
      <c r="V21" s="81" t="s">
        <v>978</v>
      </c>
      <c r="W21" s="81" t="s">
        <v>1157</v>
      </c>
      <c r="X21" s="81" t="s">
        <v>1274</v>
      </c>
      <c r="Y21" s="81" t="s">
        <v>536</v>
      </c>
      <c r="Z21" s="81" t="s">
        <v>1275</v>
      </c>
      <c r="AA21" s="81" t="s">
        <v>1276</v>
      </c>
      <c r="AB21" s="38" t="s">
        <v>1277</v>
      </c>
      <c r="AC21" s="38" t="s">
        <v>1278</v>
      </c>
      <c r="AD21" s="566" t="s">
        <v>1279</v>
      </c>
      <c r="AE21" s="29" t="str">
        <f t="shared" ca="1" si="0"/>
        <v>Current</v>
      </c>
    </row>
    <row r="22" spans="1:31" ht="75">
      <c r="A22" s="81" t="s">
        <v>1280</v>
      </c>
      <c r="B22" s="566" t="s">
        <v>1281</v>
      </c>
      <c r="C22" s="81" t="s">
        <v>1190</v>
      </c>
      <c r="D22" s="566" t="s">
        <v>1282</v>
      </c>
      <c r="E22" s="566" t="s">
        <v>1283</v>
      </c>
      <c r="F22" s="81" t="s">
        <v>1047</v>
      </c>
      <c r="G22" s="81" t="s">
        <v>1071</v>
      </c>
      <c r="H22" s="81" t="s">
        <v>1049</v>
      </c>
      <c r="I22" s="81"/>
      <c r="J22" s="81" t="s">
        <v>1155</v>
      </c>
      <c r="K22" s="81" t="s">
        <v>284</v>
      </c>
      <c r="L22" s="81" t="s">
        <v>68</v>
      </c>
      <c r="M22" s="81" t="s">
        <v>1051</v>
      </c>
      <c r="N22" s="81" t="s">
        <v>1052</v>
      </c>
      <c r="O22" s="81" t="s">
        <v>1053</v>
      </c>
      <c r="P22" s="81" t="s">
        <v>1053</v>
      </c>
      <c r="Q22" s="85" t="s">
        <v>337</v>
      </c>
      <c r="R22" s="84" t="s">
        <v>346</v>
      </c>
      <c r="S22" s="81" t="s">
        <v>1055</v>
      </c>
      <c r="T22" s="81" t="s">
        <v>1056</v>
      </c>
      <c r="U22" s="81" t="s">
        <v>1252</v>
      </c>
      <c r="V22" s="81" t="s">
        <v>1195</v>
      </c>
      <c r="W22" s="81" t="s">
        <v>1284</v>
      </c>
      <c r="X22" s="81"/>
      <c r="Y22" s="81" t="s">
        <v>1158</v>
      </c>
      <c r="Z22" s="81" t="s">
        <v>605</v>
      </c>
      <c r="AA22" s="81" t="s">
        <v>1285</v>
      </c>
      <c r="AB22" s="38" t="s">
        <v>1286</v>
      </c>
      <c r="AC22" s="38" t="s">
        <v>1287</v>
      </c>
      <c r="AD22" s="567" t="s">
        <v>1288</v>
      </c>
      <c r="AE22" s="32" t="str">
        <f t="shared" ca="1" si="0"/>
        <v>Current</v>
      </c>
    </row>
    <row r="23" spans="1:31" ht="75">
      <c r="A23" s="81" t="s">
        <v>1289</v>
      </c>
      <c r="B23" s="566" t="s">
        <v>1290</v>
      </c>
      <c r="C23" s="81" t="s">
        <v>1068</v>
      </c>
      <c r="D23" s="566" t="s">
        <v>1291</v>
      </c>
      <c r="E23" s="566" t="s">
        <v>1292</v>
      </c>
      <c r="F23" s="81" t="s">
        <v>1293</v>
      </c>
      <c r="G23" s="81" t="s">
        <v>1238</v>
      </c>
      <c r="H23" s="81" t="s">
        <v>1106</v>
      </c>
      <c r="I23" s="81" t="s">
        <v>370</v>
      </c>
      <c r="J23" s="81" t="s">
        <v>1125</v>
      </c>
      <c r="K23" s="81" t="s">
        <v>299</v>
      </c>
      <c r="L23" s="81" t="s">
        <v>68</v>
      </c>
      <c r="M23" s="81" t="s">
        <v>1051</v>
      </c>
      <c r="N23" s="81" t="s">
        <v>1052</v>
      </c>
      <c r="O23" s="81" t="s">
        <v>1054</v>
      </c>
      <c r="P23" s="81" t="s">
        <v>1054</v>
      </c>
      <c r="Q23" s="83" t="s">
        <v>345</v>
      </c>
      <c r="R23" s="84" t="s">
        <v>346</v>
      </c>
      <c r="S23" s="81" t="s">
        <v>1055</v>
      </c>
      <c r="T23" s="81" t="s">
        <v>1294</v>
      </c>
      <c r="U23" s="81" t="s">
        <v>1295</v>
      </c>
      <c r="V23" s="81" t="s">
        <v>1296</v>
      </c>
      <c r="W23" s="81" t="s">
        <v>1297</v>
      </c>
      <c r="X23" s="81" t="s">
        <v>1298</v>
      </c>
      <c r="Y23" s="81" t="s">
        <v>1078</v>
      </c>
      <c r="Z23" s="81" t="s">
        <v>605</v>
      </c>
      <c r="AA23" s="81" t="s">
        <v>1299</v>
      </c>
      <c r="AB23" s="38" t="s">
        <v>1300</v>
      </c>
      <c r="AC23" s="38" t="s">
        <v>1301</v>
      </c>
      <c r="AD23" s="566" t="s">
        <v>1302</v>
      </c>
      <c r="AE23" s="29" t="str">
        <f t="shared" ca="1" si="0"/>
        <v>Current</v>
      </c>
    </row>
    <row r="24" spans="1:31" ht="60">
      <c r="A24" s="81" t="s">
        <v>1303</v>
      </c>
      <c r="B24" s="566" t="s">
        <v>1304</v>
      </c>
      <c r="C24" s="81" t="s">
        <v>1165</v>
      </c>
      <c r="D24" s="566" t="s">
        <v>1305</v>
      </c>
      <c r="E24" s="566" t="s">
        <v>1306</v>
      </c>
      <c r="F24" s="81" t="s">
        <v>1123</v>
      </c>
      <c r="G24" s="81" t="s">
        <v>1071</v>
      </c>
      <c r="H24" s="81" t="s">
        <v>1049</v>
      </c>
      <c r="I24" s="81"/>
      <c r="J24" s="81" t="s">
        <v>734</v>
      </c>
      <c r="K24" s="81" t="s">
        <v>262</v>
      </c>
      <c r="L24" s="81" t="s">
        <v>68</v>
      </c>
      <c r="M24" s="81" t="s">
        <v>1051</v>
      </c>
      <c r="N24" s="81" t="s">
        <v>1092</v>
      </c>
      <c r="O24" s="81" t="s">
        <v>1054</v>
      </c>
      <c r="P24" s="81" t="s">
        <v>1054</v>
      </c>
      <c r="Q24" s="83" t="s">
        <v>345</v>
      </c>
      <c r="R24" s="84" t="s">
        <v>346</v>
      </c>
      <c r="S24" s="81" t="s">
        <v>1055</v>
      </c>
      <c r="T24" s="81" t="s">
        <v>1204</v>
      </c>
      <c r="U24" s="81" t="s">
        <v>1205</v>
      </c>
      <c r="V24" s="81" t="s">
        <v>1111</v>
      </c>
      <c r="W24" s="81" t="s">
        <v>1307</v>
      </c>
      <c r="X24" s="81"/>
      <c r="Y24" s="81" t="s">
        <v>543</v>
      </c>
      <c r="Z24" s="81" t="s">
        <v>125</v>
      </c>
      <c r="AA24" s="81" t="s">
        <v>1308</v>
      </c>
      <c r="AB24" s="38" t="s">
        <v>1309</v>
      </c>
      <c r="AC24" s="38" t="s">
        <v>1310</v>
      </c>
      <c r="AD24" s="567" t="s">
        <v>1311</v>
      </c>
      <c r="AE24" s="32" t="str">
        <f t="shared" ca="1" si="0"/>
        <v>Current</v>
      </c>
    </row>
    <row r="25" spans="1:31" ht="60">
      <c r="A25" s="81" t="s">
        <v>1312</v>
      </c>
      <c r="B25" s="566" t="s">
        <v>1313</v>
      </c>
      <c r="C25" s="81" t="s">
        <v>1138</v>
      </c>
      <c r="D25" s="566" t="s">
        <v>1314</v>
      </c>
      <c r="E25" s="566" t="s">
        <v>1315</v>
      </c>
      <c r="F25" s="81" t="s">
        <v>1087</v>
      </c>
      <c r="G25" s="81" t="s">
        <v>1071</v>
      </c>
      <c r="H25" s="81" t="s">
        <v>1049</v>
      </c>
      <c r="I25" s="81"/>
      <c r="J25" s="81" t="s">
        <v>729</v>
      </c>
      <c r="K25" s="81" t="s">
        <v>173</v>
      </c>
      <c r="L25" s="81" t="s">
        <v>68</v>
      </c>
      <c r="M25" s="81" t="s">
        <v>1051</v>
      </c>
      <c r="N25" s="81" t="s">
        <v>1071</v>
      </c>
      <c r="O25" s="81" t="s">
        <v>1053</v>
      </c>
      <c r="P25" s="81" t="s">
        <v>1053</v>
      </c>
      <c r="Q25" s="87" t="s">
        <v>1169</v>
      </c>
      <c r="R25" s="84" t="s">
        <v>346</v>
      </c>
      <c r="S25" s="81" t="s">
        <v>1055</v>
      </c>
      <c r="T25" s="81" t="s">
        <v>1316</v>
      </c>
      <c r="U25" s="81" t="s">
        <v>1317</v>
      </c>
      <c r="V25" s="81" t="s">
        <v>978</v>
      </c>
      <c r="W25" s="81" t="s">
        <v>1157</v>
      </c>
      <c r="X25" s="81"/>
      <c r="Y25" s="81" t="s">
        <v>536</v>
      </c>
      <c r="Z25" s="81" t="s">
        <v>1275</v>
      </c>
      <c r="AA25" s="81" t="s">
        <v>1318</v>
      </c>
      <c r="AB25" s="38" t="s">
        <v>1319</v>
      </c>
      <c r="AC25" s="38" t="s">
        <v>1320</v>
      </c>
      <c r="AD25" s="566" t="s">
        <v>1321</v>
      </c>
      <c r="AE25" s="29" t="str">
        <f t="shared" ca="1" si="0"/>
        <v>Current</v>
      </c>
    </row>
    <row r="26" spans="1:31" ht="75">
      <c r="A26" s="81" t="s">
        <v>1322</v>
      </c>
      <c r="B26" s="566" t="s">
        <v>1323</v>
      </c>
      <c r="C26" s="81" t="s">
        <v>910</v>
      </c>
      <c r="D26" s="566" t="s">
        <v>1324</v>
      </c>
      <c r="E26" s="566" t="s">
        <v>1325</v>
      </c>
      <c r="F26" s="81" t="s">
        <v>1087</v>
      </c>
      <c r="G26" s="81" t="s">
        <v>1071</v>
      </c>
      <c r="H26" s="81" t="s">
        <v>1049</v>
      </c>
      <c r="I26" s="81"/>
      <c r="J26" s="81" t="s">
        <v>1155</v>
      </c>
      <c r="K26" s="81" t="s">
        <v>1326</v>
      </c>
      <c r="L26" s="81" t="s">
        <v>68</v>
      </c>
      <c r="M26" s="81" t="s">
        <v>1051</v>
      </c>
      <c r="N26" s="81" t="s">
        <v>1052</v>
      </c>
      <c r="O26" s="81" t="s">
        <v>1053</v>
      </c>
      <c r="P26" s="81" t="s">
        <v>1053</v>
      </c>
      <c r="Q26" s="85" t="s">
        <v>337</v>
      </c>
      <c r="R26" s="84" t="s">
        <v>346</v>
      </c>
      <c r="S26" s="81" t="s">
        <v>1055</v>
      </c>
      <c r="T26" s="81" t="s">
        <v>1327</v>
      </c>
      <c r="U26" s="81" t="s">
        <v>1328</v>
      </c>
      <c r="V26" s="81" t="s">
        <v>978</v>
      </c>
      <c r="W26" s="81" t="s">
        <v>1129</v>
      </c>
      <c r="X26" s="81"/>
      <c r="Y26" s="81" t="s">
        <v>1158</v>
      </c>
      <c r="Z26" s="81" t="s">
        <v>913</v>
      </c>
      <c r="AA26" s="81" t="s">
        <v>1329</v>
      </c>
      <c r="AB26" s="38" t="s">
        <v>1330</v>
      </c>
      <c r="AC26" s="38" t="s">
        <v>1331</v>
      </c>
      <c r="AD26" s="567" t="s">
        <v>1332</v>
      </c>
      <c r="AE26" s="32" t="str">
        <f t="shared" ca="1" si="0"/>
        <v>Current</v>
      </c>
    </row>
  </sheetData>
  <mergeCells count="2">
    <mergeCell ref="A1:AD1"/>
    <mergeCell ref="A2:AD2"/>
  </mergeCells>
  <pageMargins left="0.7" right="0.7" top="0.75" bottom="0.75" header="0.3" footer="0.3"/>
  <pageSetup orientation="portrait"/>
  <headerFooter>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C7A8-8097-E928-9C34-5CD0A573DE1A}">
  <dimension ref="A1:K13"/>
  <sheetViews>
    <sheetView zoomScale="140" zoomScaleNormal="140" workbookViewId="0">
      <pane ySplit="4" topLeftCell="A5" activePane="bottomLeft" state="frozen"/>
      <selection pane="bottomLeft" activeCell="A5" sqref="A5"/>
    </sheetView>
  </sheetViews>
  <sheetFormatPr defaultColWidth="8.85546875" defaultRowHeight="15" customHeight="1"/>
  <cols>
    <col min="1" max="1" width="16" bestFit="1" customWidth="1"/>
    <col min="2" max="2" width="28.140625" bestFit="1" customWidth="1"/>
    <col min="3" max="3" width="44.5703125" bestFit="1" customWidth="1"/>
    <col min="4" max="4" width="95.7109375" bestFit="1" customWidth="1"/>
    <col min="5" max="5" width="29.85546875" bestFit="1" customWidth="1"/>
    <col min="6" max="6" width="92.7109375" bestFit="1" customWidth="1"/>
    <col min="7" max="7" width="9" bestFit="1" customWidth="1"/>
    <col min="8" max="8" width="22.140625" bestFit="1" customWidth="1"/>
    <col min="9" max="9" width="35.5703125" bestFit="1" customWidth="1"/>
    <col min="10" max="10" width="50" bestFit="1" customWidth="1"/>
    <col min="11" max="11" width="23" bestFit="1" customWidth="1"/>
  </cols>
  <sheetData>
    <row r="1" spans="1:11" ht="18.75">
      <c r="A1" s="238" t="s">
        <v>1333</v>
      </c>
      <c r="B1" s="191"/>
      <c r="C1" s="191"/>
      <c r="D1" s="191"/>
      <c r="E1" s="191"/>
      <c r="F1" s="191"/>
      <c r="G1" s="191"/>
      <c r="H1" s="191"/>
      <c r="I1" s="191"/>
      <c r="J1" s="191"/>
      <c r="K1" s="191"/>
    </row>
    <row r="2" spans="1:11">
      <c r="A2" s="239" t="s">
        <v>1334</v>
      </c>
      <c r="B2" s="191"/>
      <c r="C2" s="191"/>
      <c r="D2" s="191"/>
      <c r="E2" s="191"/>
      <c r="F2" s="191"/>
      <c r="G2" s="191"/>
      <c r="H2" s="191"/>
      <c r="I2" s="191"/>
      <c r="J2" s="191"/>
      <c r="K2" s="191"/>
    </row>
    <row r="3" spans="1:11">
      <c r="A3" s="88" t="s">
        <v>184</v>
      </c>
      <c r="B3" s="11" t="s">
        <v>185</v>
      </c>
    </row>
    <row r="4" spans="1:11">
      <c r="A4" s="82" t="s">
        <v>1335</v>
      </c>
      <c r="B4" s="82" t="s">
        <v>1336</v>
      </c>
      <c r="C4" s="82" t="s">
        <v>824</v>
      </c>
      <c r="D4" s="82" t="s">
        <v>1337</v>
      </c>
      <c r="E4" s="82" t="s">
        <v>1338</v>
      </c>
      <c r="F4" s="82" t="s">
        <v>1339</v>
      </c>
      <c r="G4" s="82" t="s">
        <v>16</v>
      </c>
      <c r="H4" s="82" t="s">
        <v>1340</v>
      </c>
      <c r="I4" s="82" t="s">
        <v>1341</v>
      </c>
      <c r="J4" s="82" t="s">
        <v>1342</v>
      </c>
      <c r="K4" s="82" t="s">
        <v>644</v>
      </c>
    </row>
    <row r="5" spans="1:11">
      <c r="A5" s="41" t="s">
        <v>1343</v>
      </c>
      <c r="B5" s="41" t="s">
        <v>125</v>
      </c>
      <c r="C5" s="41" t="s">
        <v>1344</v>
      </c>
      <c r="D5" s="41" t="s">
        <v>1345</v>
      </c>
      <c r="E5" s="41" t="s">
        <v>1346</v>
      </c>
      <c r="F5" s="41" t="s">
        <v>1347</v>
      </c>
      <c r="G5" s="41" t="s">
        <v>42</v>
      </c>
      <c r="H5" s="41" t="s">
        <v>1348</v>
      </c>
      <c r="I5" s="41" t="s">
        <v>1349</v>
      </c>
      <c r="J5" s="41" t="s">
        <v>1350</v>
      </c>
      <c r="K5" s="41" t="s">
        <v>1351</v>
      </c>
    </row>
    <row r="6" spans="1:11">
      <c r="A6" s="31" t="s">
        <v>1352</v>
      </c>
      <c r="B6" s="31" t="s">
        <v>605</v>
      </c>
      <c r="C6" s="31" t="s">
        <v>1353</v>
      </c>
      <c r="D6" s="31" t="s">
        <v>1354</v>
      </c>
      <c r="E6" s="31" t="s">
        <v>1355</v>
      </c>
      <c r="F6" s="31" t="s">
        <v>1356</v>
      </c>
      <c r="G6" s="31" t="s">
        <v>42</v>
      </c>
      <c r="H6" s="31" t="s">
        <v>1357</v>
      </c>
      <c r="I6" s="31" t="s">
        <v>1358</v>
      </c>
      <c r="J6" s="31" t="s">
        <v>1359</v>
      </c>
      <c r="K6" s="31" t="s">
        <v>1360</v>
      </c>
    </row>
    <row r="7" spans="1:11">
      <c r="A7" s="41" t="s">
        <v>1361</v>
      </c>
      <c r="B7" s="41" t="s">
        <v>1275</v>
      </c>
      <c r="C7" s="41" t="s">
        <v>1362</v>
      </c>
      <c r="D7" s="41" t="s">
        <v>1363</v>
      </c>
      <c r="E7" s="41" t="s">
        <v>1364</v>
      </c>
      <c r="F7" s="41" t="s">
        <v>1365</v>
      </c>
      <c r="G7" s="41" t="s">
        <v>42</v>
      </c>
      <c r="H7" s="41" t="s">
        <v>1357</v>
      </c>
      <c r="I7" s="41" t="s">
        <v>1366</v>
      </c>
      <c r="J7" s="41" t="s">
        <v>1367</v>
      </c>
      <c r="K7" s="41" t="s">
        <v>1368</v>
      </c>
    </row>
    <row r="8" spans="1:11">
      <c r="A8" s="31" t="s">
        <v>1369</v>
      </c>
      <c r="B8" s="31" t="s">
        <v>136</v>
      </c>
      <c r="C8" s="31" t="s">
        <v>1370</v>
      </c>
      <c r="D8" s="31" t="s">
        <v>1371</v>
      </c>
      <c r="E8" s="31" t="s">
        <v>1372</v>
      </c>
      <c r="F8" s="31" t="s">
        <v>1373</v>
      </c>
      <c r="G8" s="31" t="s">
        <v>1374</v>
      </c>
      <c r="H8" s="31" t="s">
        <v>1375</v>
      </c>
      <c r="I8" s="31" t="s">
        <v>1376</v>
      </c>
      <c r="J8" s="31" t="s">
        <v>1377</v>
      </c>
      <c r="K8" s="31" t="s">
        <v>1378</v>
      </c>
    </row>
    <row r="9" spans="1:11">
      <c r="A9" s="41" t="s">
        <v>1379</v>
      </c>
      <c r="B9" s="41" t="s">
        <v>405</v>
      </c>
      <c r="C9" s="41" t="s">
        <v>1380</v>
      </c>
      <c r="D9" s="41" t="s">
        <v>1381</v>
      </c>
      <c r="E9" s="41" t="s">
        <v>1382</v>
      </c>
      <c r="F9" s="41" t="s">
        <v>1383</v>
      </c>
      <c r="G9" s="41" t="s">
        <v>23</v>
      </c>
      <c r="H9" s="41" t="s">
        <v>1375</v>
      </c>
      <c r="I9" s="41" t="s">
        <v>1384</v>
      </c>
      <c r="J9" s="41" t="s">
        <v>1385</v>
      </c>
      <c r="K9" s="41" t="s">
        <v>1386</v>
      </c>
    </row>
    <row r="10" spans="1:11">
      <c r="A10" s="31" t="s">
        <v>1387</v>
      </c>
      <c r="B10" s="31" t="s">
        <v>1388</v>
      </c>
      <c r="C10" s="31" t="s">
        <v>1389</v>
      </c>
      <c r="D10" s="31" t="s">
        <v>1390</v>
      </c>
      <c r="E10" s="31" t="s">
        <v>1391</v>
      </c>
      <c r="F10" s="31" t="s">
        <v>1392</v>
      </c>
      <c r="G10" s="31" t="s">
        <v>23</v>
      </c>
      <c r="H10" s="31" t="s">
        <v>1375</v>
      </c>
      <c r="I10" s="31" t="s">
        <v>1393</v>
      </c>
      <c r="J10" s="31" t="s">
        <v>1394</v>
      </c>
      <c r="K10" s="31" t="s">
        <v>692</v>
      </c>
    </row>
    <row r="11" spans="1:11">
      <c r="A11" s="41" t="s">
        <v>1395</v>
      </c>
      <c r="B11" s="41" t="s">
        <v>599</v>
      </c>
      <c r="C11" s="41" t="s">
        <v>1396</v>
      </c>
      <c r="D11" s="41" t="s">
        <v>1397</v>
      </c>
      <c r="E11" s="41" t="s">
        <v>1398</v>
      </c>
      <c r="F11" s="41" t="s">
        <v>1399</v>
      </c>
      <c r="G11" s="41" t="s">
        <v>42</v>
      </c>
      <c r="H11" s="41" t="s">
        <v>1357</v>
      </c>
      <c r="I11" s="41" t="s">
        <v>1400</v>
      </c>
      <c r="J11" s="41" t="s">
        <v>1401</v>
      </c>
      <c r="K11" s="41" t="s">
        <v>1402</v>
      </c>
    </row>
    <row r="12" spans="1:11">
      <c r="A12" s="31" t="s">
        <v>1403</v>
      </c>
      <c r="B12" s="31" t="s">
        <v>131</v>
      </c>
      <c r="C12" s="31" t="s">
        <v>1404</v>
      </c>
      <c r="D12" s="31" t="s">
        <v>1405</v>
      </c>
      <c r="E12" s="31" t="s">
        <v>1406</v>
      </c>
      <c r="F12" s="31" t="s">
        <v>1407</v>
      </c>
      <c r="G12" s="31" t="s">
        <v>42</v>
      </c>
      <c r="H12" s="31" t="s">
        <v>1357</v>
      </c>
      <c r="I12" s="31" t="s">
        <v>1408</v>
      </c>
      <c r="J12" s="31" t="s">
        <v>1409</v>
      </c>
      <c r="K12" s="31" t="s">
        <v>687</v>
      </c>
    </row>
    <row r="13" spans="1:11">
      <c r="A13" s="41" t="s">
        <v>1410</v>
      </c>
      <c r="B13" s="41" t="s">
        <v>1411</v>
      </c>
      <c r="C13" s="41" t="s">
        <v>1412</v>
      </c>
      <c r="D13" s="41" t="s">
        <v>1413</v>
      </c>
      <c r="E13" s="41" t="s">
        <v>1414</v>
      </c>
      <c r="F13" s="41" t="s">
        <v>1415</v>
      </c>
      <c r="G13" s="41" t="s">
        <v>42</v>
      </c>
      <c r="H13" s="41" t="s">
        <v>1357</v>
      </c>
      <c r="I13" s="41" t="s">
        <v>1416</v>
      </c>
      <c r="J13" s="41" t="s">
        <v>1417</v>
      </c>
      <c r="K13" s="41" t="s">
        <v>1418</v>
      </c>
    </row>
  </sheetData>
  <mergeCells count="2">
    <mergeCell ref="A1:K1"/>
    <mergeCell ref="A2:K2"/>
  </mergeCells>
  <pageMargins left="0.7" right="0.7" top="0.75" bottom="0.75" header="0.3" footer="0.3"/>
  <pageSetup orientation="portrait"/>
  <headerFooter>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40E2-3BC3-78F8-D7A7-6BD92D7332A8}">
  <dimension ref="A1:L22"/>
  <sheetViews>
    <sheetView workbookViewId="0">
      <pane xSplit="1" ySplit="4" topLeftCell="B5" activePane="bottomRight" state="frozen"/>
      <selection pane="topRight" activeCell="B1" sqref="B1"/>
      <selection pane="bottomLeft" activeCell="A5" sqref="A5"/>
      <selection pane="bottomRight" activeCell="A5" sqref="A5"/>
    </sheetView>
  </sheetViews>
  <sheetFormatPr defaultColWidth="8.85546875" defaultRowHeight="15" customHeight="1"/>
  <cols>
    <col min="1" max="1" width="16" bestFit="1" customWidth="1"/>
    <col min="2" max="2" width="42.28515625" bestFit="1" customWidth="1"/>
    <col min="3" max="3" width="15.28515625" bestFit="1" customWidth="1"/>
    <col min="4" max="4" width="19" bestFit="1" customWidth="1"/>
    <col min="5" max="5" width="5.140625" bestFit="1" customWidth="1"/>
    <col min="6" max="6" width="10" bestFit="1" customWidth="1"/>
    <col min="7" max="7" width="17.28515625" bestFit="1" customWidth="1"/>
    <col min="8" max="8" width="20.28515625" bestFit="1" customWidth="1"/>
    <col min="9" max="9" width="13.42578125" bestFit="1" customWidth="1"/>
    <col min="10" max="10" width="19.7109375" bestFit="1" customWidth="1"/>
    <col min="11" max="11" width="16" bestFit="1" customWidth="1"/>
    <col min="12" max="12" width="14.7109375" bestFit="1" customWidth="1"/>
  </cols>
  <sheetData>
    <row r="1" spans="1:12" ht="18.75">
      <c r="A1" s="198" t="s">
        <v>1419</v>
      </c>
      <c r="B1" s="191"/>
      <c r="C1" s="191"/>
      <c r="D1" s="191"/>
      <c r="E1" s="191"/>
      <c r="F1" s="191"/>
      <c r="G1" s="191"/>
      <c r="H1" s="191"/>
      <c r="I1" s="191"/>
      <c r="J1" s="191"/>
      <c r="K1" s="191"/>
      <c r="L1" s="191"/>
    </row>
    <row r="2" spans="1:12">
      <c r="A2" s="242" t="s">
        <v>1420</v>
      </c>
      <c r="B2" s="191"/>
      <c r="C2" s="191"/>
      <c r="D2" s="191"/>
      <c r="E2" s="191"/>
      <c r="F2" s="191"/>
      <c r="G2" s="191"/>
      <c r="H2" s="191"/>
      <c r="I2" s="191"/>
      <c r="J2" s="191"/>
      <c r="K2" s="191"/>
      <c r="L2" s="191"/>
    </row>
    <row r="3" spans="1:12">
      <c r="A3" s="10" t="s">
        <v>184</v>
      </c>
    </row>
    <row r="4" spans="1:12">
      <c r="A4" s="66" t="s">
        <v>1421</v>
      </c>
      <c r="B4" s="66" t="s">
        <v>1422</v>
      </c>
      <c r="C4" s="66" t="s">
        <v>1023</v>
      </c>
      <c r="D4" s="66" t="s">
        <v>31</v>
      </c>
      <c r="E4" s="66" t="s">
        <v>570</v>
      </c>
      <c r="F4" s="66" t="s">
        <v>1423</v>
      </c>
      <c r="G4" s="66" t="s">
        <v>1424</v>
      </c>
      <c r="H4" s="66" t="s">
        <v>1425</v>
      </c>
      <c r="I4" s="66" t="s">
        <v>910</v>
      </c>
      <c r="J4" s="66" t="s">
        <v>1426</v>
      </c>
      <c r="K4" s="66" t="s">
        <v>1427</v>
      </c>
      <c r="L4" s="66" t="s">
        <v>644</v>
      </c>
    </row>
    <row r="5" spans="1:12">
      <c r="A5" s="89" t="s">
        <v>1428</v>
      </c>
      <c r="B5" s="89" t="s">
        <v>1429</v>
      </c>
      <c r="C5" s="90" t="s">
        <v>1430</v>
      </c>
      <c r="D5" s="87" t="s">
        <v>1431</v>
      </c>
      <c r="E5" s="26" t="s">
        <v>1432</v>
      </c>
      <c r="F5" s="26" t="s">
        <v>1432</v>
      </c>
      <c r="G5" s="26" t="s">
        <v>1432</v>
      </c>
      <c r="H5" s="26" t="s">
        <v>1432</v>
      </c>
      <c r="I5" s="91" t="s">
        <v>1433</v>
      </c>
      <c r="J5" s="91" t="s">
        <v>1433</v>
      </c>
      <c r="K5" s="91" t="s">
        <v>1433</v>
      </c>
      <c r="L5" s="89" t="s">
        <v>1434</v>
      </c>
    </row>
    <row r="6" spans="1:12">
      <c r="A6" s="92" t="s">
        <v>1435</v>
      </c>
      <c r="B6" s="92" t="s">
        <v>1436</v>
      </c>
      <c r="C6" s="26" t="s">
        <v>1432</v>
      </c>
      <c r="D6" s="87" t="s">
        <v>1431</v>
      </c>
      <c r="E6" s="26" t="s">
        <v>1432</v>
      </c>
      <c r="F6" s="90" t="s">
        <v>1430</v>
      </c>
      <c r="G6" s="26" t="s">
        <v>1432</v>
      </c>
      <c r="H6" s="26" t="s">
        <v>1432</v>
      </c>
      <c r="I6" s="91" t="s">
        <v>1433</v>
      </c>
      <c r="J6" s="87" t="s">
        <v>1431</v>
      </c>
      <c r="K6" s="91" t="s">
        <v>1433</v>
      </c>
      <c r="L6" s="92" t="s">
        <v>1437</v>
      </c>
    </row>
    <row r="7" spans="1:12">
      <c r="A7" s="89" t="s">
        <v>1438</v>
      </c>
      <c r="B7" s="89" t="s">
        <v>1439</v>
      </c>
      <c r="C7" s="26" t="s">
        <v>1432</v>
      </c>
      <c r="D7" s="87" t="s">
        <v>1431</v>
      </c>
      <c r="E7" s="26" t="s">
        <v>1432</v>
      </c>
      <c r="F7" s="90" t="s">
        <v>1430</v>
      </c>
      <c r="G7" s="26" t="s">
        <v>1432</v>
      </c>
      <c r="H7" s="26" t="s">
        <v>1432</v>
      </c>
      <c r="I7" s="91" t="s">
        <v>1433</v>
      </c>
      <c r="J7" s="26" t="s">
        <v>1432</v>
      </c>
      <c r="K7" s="91" t="s">
        <v>1433</v>
      </c>
      <c r="L7" s="89" t="s">
        <v>656</v>
      </c>
    </row>
    <row r="8" spans="1:12">
      <c r="A8" s="92" t="s">
        <v>1440</v>
      </c>
      <c r="B8" s="92" t="s">
        <v>1441</v>
      </c>
      <c r="C8" s="26" t="s">
        <v>1432</v>
      </c>
      <c r="D8" s="26" t="s">
        <v>1432</v>
      </c>
      <c r="E8" s="91" t="s">
        <v>1433</v>
      </c>
      <c r="F8" s="91" t="s">
        <v>1433</v>
      </c>
      <c r="G8" s="90" t="s">
        <v>1442</v>
      </c>
      <c r="H8" s="26" t="s">
        <v>1432</v>
      </c>
      <c r="I8" s="91" t="s">
        <v>1433</v>
      </c>
      <c r="J8" s="26" t="s">
        <v>1432</v>
      </c>
      <c r="K8" s="91" t="s">
        <v>1433</v>
      </c>
      <c r="L8" s="92" t="s">
        <v>1402</v>
      </c>
    </row>
    <row r="9" spans="1:12">
      <c r="A9" s="89" t="s">
        <v>1443</v>
      </c>
      <c r="B9" s="89" t="s">
        <v>1444</v>
      </c>
      <c r="C9" s="91" t="s">
        <v>1433</v>
      </c>
      <c r="D9" s="87" t="s">
        <v>1431</v>
      </c>
      <c r="E9" s="90" t="s">
        <v>1430</v>
      </c>
      <c r="F9" s="26" t="s">
        <v>1432</v>
      </c>
      <c r="G9" s="26" t="s">
        <v>1432</v>
      </c>
      <c r="H9" s="26" t="s">
        <v>1432</v>
      </c>
      <c r="I9" s="91" t="s">
        <v>1433</v>
      </c>
      <c r="J9" s="26" t="s">
        <v>1432</v>
      </c>
      <c r="K9" s="26" t="s">
        <v>1432</v>
      </c>
      <c r="L9" s="89" t="s">
        <v>1368</v>
      </c>
    </row>
    <row r="10" spans="1:12">
      <c r="A10" s="92" t="s">
        <v>1445</v>
      </c>
      <c r="B10" s="92" t="s">
        <v>1446</v>
      </c>
      <c r="C10" s="26" t="s">
        <v>1432</v>
      </c>
      <c r="D10" s="87" t="s">
        <v>1431</v>
      </c>
      <c r="E10" s="26" t="s">
        <v>1432</v>
      </c>
      <c r="F10" s="26" t="s">
        <v>1432</v>
      </c>
      <c r="G10" s="26" t="s">
        <v>1432</v>
      </c>
      <c r="H10" s="26" t="s">
        <v>1432</v>
      </c>
      <c r="I10" s="91" t="s">
        <v>1433</v>
      </c>
      <c r="J10" s="91" t="s">
        <v>1433</v>
      </c>
      <c r="K10" s="91" t="s">
        <v>1433</v>
      </c>
      <c r="L10" s="92" t="s">
        <v>1378</v>
      </c>
    </row>
    <row r="11" spans="1:12">
      <c r="A11" s="89" t="s">
        <v>1447</v>
      </c>
      <c r="B11" s="89" t="s">
        <v>1448</v>
      </c>
      <c r="C11" s="90" t="s">
        <v>1430</v>
      </c>
      <c r="D11" s="87" t="s">
        <v>1431</v>
      </c>
      <c r="E11" s="26" t="s">
        <v>1432</v>
      </c>
      <c r="F11" s="26" t="s">
        <v>1432</v>
      </c>
      <c r="G11" s="26" t="s">
        <v>1432</v>
      </c>
      <c r="H11" s="87" t="s">
        <v>1431</v>
      </c>
      <c r="I11" s="91" t="s">
        <v>1433</v>
      </c>
      <c r="J11" s="91" t="s">
        <v>1433</v>
      </c>
      <c r="K11" s="26" t="s">
        <v>1432</v>
      </c>
      <c r="L11" s="89" t="s">
        <v>1449</v>
      </c>
    </row>
    <row r="12" spans="1:12">
      <c r="A12" s="92" t="s">
        <v>1450</v>
      </c>
      <c r="B12" s="92" t="s">
        <v>1451</v>
      </c>
      <c r="C12" s="91" t="s">
        <v>1433</v>
      </c>
      <c r="D12" s="90" t="s">
        <v>1430</v>
      </c>
      <c r="E12" s="91" t="s">
        <v>1433</v>
      </c>
      <c r="F12" s="91" t="s">
        <v>1433</v>
      </c>
      <c r="G12" s="91" t="s">
        <v>1433</v>
      </c>
      <c r="H12" s="87" t="s">
        <v>1431</v>
      </c>
      <c r="I12" s="91" t="s">
        <v>1433</v>
      </c>
      <c r="J12" s="91" t="s">
        <v>1433</v>
      </c>
      <c r="K12" s="26" t="s">
        <v>1432</v>
      </c>
      <c r="L12" s="92" t="s">
        <v>1452</v>
      </c>
    </row>
    <row r="13" spans="1:12">
      <c r="A13" s="89" t="s">
        <v>1453</v>
      </c>
      <c r="B13" s="89" t="s">
        <v>1454</v>
      </c>
      <c r="C13" s="26" t="s">
        <v>1432</v>
      </c>
      <c r="D13" s="90" t="s">
        <v>1430</v>
      </c>
      <c r="E13" s="87" t="s">
        <v>1431</v>
      </c>
      <c r="F13" s="26" t="s">
        <v>1432</v>
      </c>
      <c r="G13" s="26" t="s">
        <v>1432</v>
      </c>
      <c r="H13" s="87" t="s">
        <v>1431</v>
      </c>
      <c r="I13" s="91" t="s">
        <v>1433</v>
      </c>
      <c r="J13" s="26" t="s">
        <v>1432</v>
      </c>
      <c r="K13" s="87" t="s">
        <v>1431</v>
      </c>
      <c r="L13" s="89" t="s">
        <v>1368</v>
      </c>
    </row>
    <row r="14" spans="1:12">
      <c r="A14" s="92" t="s">
        <v>1455</v>
      </c>
      <c r="B14" s="92" t="s">
        <v>1456</v>
      </c>
      <c r="C14" s="90" t="s">
        <v>1430</v>
      </c>
      <c r="D14" s="26" t="s">
        <v>1432</v>
      </c>
      <c r="E14" s="87" t="s">
        <v>1431</v>
      </c>
      <c r="F14" s="91" t="s">
        <v>1433</v>
      </c>
      <c r="G14" s="91" t="s">
        <v>1433</v>
      </c>
      <c r="H14" s="91" t="s">
        <v>1433</v>
      </c>
      <c r="I14" s="91" t="s">
        <v>1433</v>
      </c>
      <c r="J14" s="91" t="s">
        <v>1433</v>
      </c>
      <c r="K14" s="87" t="s">
        <v>1431</v>
      </c>
      <c r="L14" s="92" t="s">
        <v>669</v>
      </c>
    </row>
    <row r="15" spans="1:12">
      <c r="A15" s="89" t="s">
        <v>1457</v>
      </c>
      <c r="B15" s="89" t="s">
        <v>1458</v>
      </c>
      <c r="C15" s="91" t="s">
        <v>1433</v>
      </c>
      <c r="D15" s="87" t="s">
        <v>1431</v>
      </c>
      <c r="E15" s="26" t="s">
        <v>1432</v>
      </c>
      <c r="F15" s="26" t="s">
        <v>1432</v>
      </c>
      <c r="G15" s="26" t="s">
        <v>1432</v>
      </c>
      <c r="H15" s="26" t="s">
        <v>1432</v>
      </c>
      <c r="I15" s="90" t="s">
        <v>1430</v>
      </c>
      <c r="J15" s="91" t="s">
        <v>1433</v>
      </c>
      <c r="K15" s="26" t="s">
        <v>1432</v>
      </c>
      <c r="L15" s="89" t="s">
        <v>692</v>
      </c>
    </row>
    <row r="16" spans="1:12">
      <c r="A16" s="92" t="s">
        <v>1459</v>
      </c>
      <c r="B16" s="92" t="s">
        <v>1460</v>
      </c>
      <c r="C16" s="90" t="s">
        <v>1430</v>
      </c>
      <c r="D16" s="87" t="s">
        <v>1431</v>
      </c>
      <c r="E16" s="26" t="s">
        <v>1432</v>
      </c>
      <c r="F16" s="26" t="s">
        <v>1432</v>
      </c>
      <c r="G16" s="26" t="s">
        <v>1432</v>
      </c>
      <c r="H16" s="26" t="s">
        <v>1432</v>
      </c>
      <c r="I16" s="87" t="s">
        <v>1431</v>
      </c>
      <c r="J16" s="91" t="s">
        <v>1433</v>
      </c>
      <c r="K16" s="26" t="s">
        <v>1432</v>
      </c>
      <c r="L16" s="92" t="s">
        <v>692</v>
      </c>
    </row>
    <row r="17" spans="1:12">
      <c r="A17" s="89" t="s">
        <v>1461</v>
      </c>
      <c r="B17" s="89" t="s">
        <v>1462</v>
      </c>
      <c r="C17" s="90" t="s">
        <v>1430</v>
      </c>
      <c r="D17" s="87" t="s">
        <v>1431</v>
      </c>
      <c r="E17" s="26" t="s">
        <v>1432</v>
      </c>
      <c r="F17" s="26" t="s">
        <v>1432</v>
      </c>
      <c r="G17" s="91" t="s">
        <v>1433</v>
      </c>
      <c r="H17" s="26" t="s">
        <v>1432</v>
      </c>
      <c r="I17" s="91" t="s">
        <v>1433</v>
      </c>
      <c r="J17" s="26" t="s">
        <v>1432</v>
      </c>
      <c r="K17" s="87" t="s">
        <v>1431</v>
      </c>
      <c r="L17" s="89" t="s">
        <v>1418</v>
      </c>
    </row>
    <row r="18" spans="1:12">
      <c r="A18" s="92" t="s">
        <v>1463</v>
      </c>
      <c r="B18" s="92" t="s">
        <v>1464</v>
      </c>
      <c r="C18" s="26" t="s">
        <v>1432</v>
      </c>
      <c r="D18" s="87" t="s">
        <v>1431</v>
      </c>
      <c r="E18" s="26" t="s">
        <v>1432</v>
      </c>
      <c r="F18" s="26" t="s">
        <v>1432</v>
      </c>
      <c r="G18" s="26" t="s">
        <v>1432</v>
      </c>
      <c r="H18" s="91" t="s">
        <v>1433</v>
      </c>
      <c r="I18" s="91" t="s">
        <v>1433</v>
      </c>
      <c r="J18" s="90" t="s">
        <v>1430</v>
      </c>
      <c r="K18" s="91" t="s">
        <v>1433</v>
      </c>
      <c r="L18" s="92" t="s">
        <v>687</v>
      </c>
    </row>
    <row r="19" spans="1:12">
      <c r="A19" s="89" t="s">
        <v>1465</v>
      </c>
      <c r="B19" s="89" t="s">
        <v>1466</v>
      </c>
      <c r="C19" s="90" t="s">
        <v>1430</v>
      </c>
      <c r="D19" s="87" t="s">
        <v>1431</v>
      </c>
      <c r="E19" s="26" t="s">
        <v>1432</v>
      </c>
      <c r="F19" s="26" t="s">
        <v>1432</v>
      </c>
      <c r="G19" s="26" t="s">
        <v>1432</v>
      </c>
      <c r="H19" s="87" t="s">
        <v>1431</v>
      </c>
      <c r="I19" s="91" t="s">
        <v>1433</v>
      </c>
      <c r="J19" s="91" t="s">
        <v>1433</v>
      </c>
      <c r="K19" s="87" t="s">
        <v>1431</v>
      </c>
      <c r="L19" s="89" t="s">
        <v>675</v>
      </c>
    </row>
    <row r="20" spans="1:12">
      <c r="A20" s="92" t="s">
        <v>1467</v>
      </c>
      <c r="B20" s="92" t="s">
        <v>1468</v>
      </c>
      <c r="C20" s="91" t="s">
        <v>1433</v>
      </c>
      <c r="D20" s="87" t="s">
        <v>1431</v>
      </c>
      <c r="E20" s="26" t="s">
        <v>1432</v>
      </c>
      <c r="F20" s="90" t="s">
        <v>1430</v>
      </c>
      <c r="G20" s="26" t="s">
        <v>1432</v>
      </c>
      <c r="H20" s="91" t="s">
        <v>1433</v>
      </c>
      <c r="I20" s="91" t="s">
        <v>1433</v>
      </c>
      <c r="J20" s="91" t="s">
        <v>1433</v>
      </c>
      <c r="K20" s="91" t="s">
        <v>1433</v>
      </c>
      <c r="L20" s="92" t="s">
        <v>1378</v>
      </c>
    </row>
    <row r="21" spans="1:12">
      <c r="A21" s="89" t="s">
        <v>1469</v>
      </c>
      <c r="B21" s="89" t="s">
        <v>1470</v>
      </c>
      <c r="C21" s="90" t="s">
        <v>1430</v>
      </c>
      <c r="D21" s="87" t="s">
        <v>1431</v>
      </c>
      <c r="E21" s="26" t="s">
        <v>1432</v>
      </c>
      <c r="F21" s="26" t="s">
        <v>1432</v>
      </c>
      <c r="G21" s="26" t="s">
        <v>1432</v>
      </c>
      <c r="H21" s="26" t="s">
        <v>1432</v>
      </c>
      <c r="I21" s="91" t="s">
        <v>1433</v>
      </c>
      <c r="J21" s="91" t="s">
        <v>1433</v>
      </c>
      <c r="K21" s="91" t="s">
        <v>1433</v>
      </c>
      <c r="L21" s="89" t="s">
        <v>1378</v>
      </c>
    </row>
    <row r="22" spans="1:12">
      <c r="A22" s="92" t="s">
        <v>1471</v>
      </c>
      <c r="B22" s="92" t="s">
        <v>1472</v>
      </c>
      <c r="C22" s="90" t="s">
        <v>1430</v>
      </c>
      <c r="D22" s="87" t="s">
        <v>1431</v>
      </c>
      <c r="E22" s="91" t="s">
        <v>1433</v>
      </c>
      <c r="F22" s="26" t="s">
        <v>1432</v>
      </c>
      <c r="G22" s="26" t="s">
        <v>1432</v>
      </c>
      <c r="H22" s="26" t="s">
        <v>1432</v>
      </c>
      <c r="I22" s="91" t="s">
        <v>1433</v>
      </c>
      <c r="J22" s="91" t="s">
        <v>1433</v>
      </c>
      <c r="K22" s="91" t="s">
        <v>1433</v>
      </c>
      <c r="L22" s="92" t="s">
        <v>1473</v>
      </c>
    </row>
  </sheetData>
  <mergeCells count="2">
    <mergeCell ref="A1:L1"/>
    <mergeCell ref="A2:L2"/>
  </mergeCells>
  <pageMargins left="0.7" right="0.7" top="0.75" bottom="0.75" header="0.3" footer="0.3"/>
  <pageSetup orientation="portrait"/>
  <headerFooter>
    <oddHeader>&amp;L&amp;C&amp;R</oddHeader>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63F2-8218-A4BA-D5B6-B45F650F9D6B}">
  <dimension ref="A1:M19"/>
  <sheetViews>
    <sheetView topLeftCell="G1" workbookViewId="0">
      <pane ySplit="4" topLeftCell="A5" activePane="bottomLeft" state="frozen"/>
      <selection pane="bottomLeft" sqref="A1:M1"/>
    </sheetView>
  </sheetViews>
  <sheetFormatPr defaultColWidth="8.85546875" defaultRowHeight="15" customHeight="1"/>
  <cols>
    <col min="1" max="1" width="15.140625" bestFit="1" customWidth="1"/>
    <col min="2" max="2" width="36.7109375" bestFit="1" customWidth="1"/>
    <col min="3" max="3" width="16.42578125" bestFit="1" customWidth="1"/>
    <col min="4" max="4" width="78.5703125" bestFit="1" customWidth="1"/>
    <col min="5" max="5" width="18.7109375" bestFit="1" customWidth="1"/>
    <col min="6" max="6" width="14.5703125" bestFit="1" customWidth="1"/>
    <col min="7" max="7" width="19.28515625" bestFit="1" customWidth="1"/>
    <col min="8" max="8" width="53" bestFit="1" customWidth="1"/>
    <col min="9" max="9" width="35.7109375" bestFit="1" customWidth="1"/>
    <col min="10" max="10" width="20.140625" bestFit="1" customWidth="1"/>
    <col min="11" max="11" width="36.42578125" bestFit="1" customWidth="1"/>
    <col min="12" max="12" width="30.85546875" bestFit="1" customWidth="1"/>
    <col min="13" max="13" width="20.42578125" bestFit="1" customWidth="1"/>
  </cols>
  <sheetData>
    <row r="1" spans="1:13" ht="18.75">
      <c r="A1" s="238" t="s">
        <v>1474</v>
      </c>
      <c r="B1" s="191"/>
      <c r="C1" s="191"/>
      <c r="D1" s="191"/>
      <c r="E1" s="191"/>
      <c r="F1" s="191"/>
      <c r="G1" s="191"/>
      <c r="H1" s="191"/>
      <c r="I1" s="191"/>
      <c r="J1" s="191"/>
      <c r="K1" s="191"/>
      <c r="L1" s="191"/>
      <c r="M1" s="191"/>
    </row>
    <row r="2" spans="1:13">
      <c r="A2" s="239" t="s">
        <v>1475</v>
      </c>
      <c r="B2" s="191"/>
      <c r="C2" s="191"/>
      <c r="D2" s="191"/>
      <c r="E2" s="191"/>
      <c r="F2" s="191"/>
      <c r="G2" s="191"/>
      <c r="H2" s="191"/>
      <c r="I2" s="191"/>
      <c r="J2" s="191"/>
      <c r="K2" s="191"/>
      <c r="L2" s="191"/>
      <c r="M2" s="191"/>
    </row>
    <row r="3" spans="1:13">
      <c r="A3" s="88" t="s">
        <v>184</v>
      </c>
      <c r="B3" s="11" t="s">
        <v>185</v>
      </c>
    </row>
    <row r="4" spans="1:13">
      <c r="A4" s="82" t="s">
        <v>1022</v>
      </c>
      <c r="B4" s="82" t="s">
        <v>1476</v>
      </c>
      <c r="C4" s="82" t="s">
        <v>1477</v>
      </c>
      <c r="D4" s="82" t="s">
        <v>410</v>
      </c>
      <c r="E4" s="82" t="s">
        <v>1478</v>
      </c>
      <c r="F4" s="82" t="s">
        <v>1479</v>
      </c>
      <c r="G4" s="82" t="s">
        <v>1480</v>
      </c>
      <c r="H4" s="82" t="s">
        <v>825</v>
      </c>
      <c r="I4" s="82" t="s">
        <v>643</v>
      </c>
      <c r="J4" s="82" t="s">
        <v>1481</v>
      </c>
      <c r="K4" s="82" t="s">
        <v>1482</v>
      </c>
      <c r="L4" s="82" t="s">
        <v>1483</v>
      </c>
      <c r="M4" s="82" t="s">
        <v>1484</v>
      </c>
    </row>
    <row r="5" spans="1:13">
      <c r="A5" s="36" t="s">
        <v>706</v>
      </c>
      <c r="B5" s="36" t="s">
        <v>1485</v>
      </c>
      <c r="C5" s="36" t="s">
        <v>704</v>
      </c>
      <c r="D5" s="36" t="s">
        <v>1486</v>
      </c>
      <c r="E5" s="36" t="s">
        <v>1487</v>
      </c>
      <c r="F5" s="36" t="s">
        <v>181</v>
      </c>
      <c r="G5" s="36" t="s">
        <v>1488</v>
      </c>
      <c r="H5" s="36" t="s">
        <v>1489</v>
      </c>
      <c r="I5" s="36" t="s">
        <v>1490</v>
      </c>
      <c r="J5" s="36" t="s">
        <v>939</v>
      </c>
      <c r="K5" s="36" t="s">
        <v>1491</v>
      </c>
      <c r="L5" s="36" t="s">
        <v>1492</v>
      </c>
      <c r="M5" s="93" t="s">
        <v>1493</v>
      </c>
    </row>
    <row r="6" spans="1:13">
      <c r="A6" s="39" t="s">
        <v>1050</v>
      </c>
      <c r="B6" s="39" t="s">
        <v>1494</v>
      </c>
      <c r="C6" s="39" t="s">
        <v>750</v>
      </c>
      <c r="D6" s="39" t="s">
        <v>1495</v>
      </c>
      <c r="E6" s="39" t="s">
        <v>125</v>
      </c>
      <c r="F6" s="39" t="s">
        <v>68</v>
      </c>
      <c r="G6" s="39" t="s">
        <v>1496</v>
      </c>
      <c r="H6" s="39" t="s">
        <v>1497</v>
      </c>
      <c r="I6" s="39" t="s">
        <v>1194</v>
      </c>
      <c r="J6" s="39" t="s">
        <v>1195</v>
      </c>
      <c r="K6" s="39" t="s">
        <v>1498</v>
      </c>
      <c r="L6" s="39" t="s">
        <v>1499</v>
      </c>
      <c r="M6" s="93" t="s">
        <v>1493</v>
      </c>
    </row>
    <row r="7" spans="1:13">
      <c r="A7" s="36" t="s">
        <v>1072</v>
      </c>
      <c r="B7" s="36" t="s">
        <v>1500</v>
      </c>
      <c r="C7" s="36" t="s">
        <v>722</v>
      </c>
      <c r="D7" s="36" t="s">
        <v>1501</v>
      </c>
      <c r="E7" s="36" t="s">
        <v>125</v>
      </c>
      <c r="F7" s="36" t="s">
        <v>68</v>
      </c>
      <c r="G7" s="36" t="s">
        <v>1068</v>
      </c>
      <c r="H7" s="36" t="s">
        <v>1502</v>
      </c>
      <c r="I7" s="36" t="s">
        <v>1074</v>
      </c>
      <c r="J7" s="36" t="s">
        <v>1075</v>
      </c>
      <c r="K7" s="36" t="s">
        <v>1503</v>
      </c>
      <c r="L7" s="36" t="s">
        <v>1504</v>
      </c>
      <c r="M7" s="93" t="s">
        <v>1493</v>
      </c>
    </row>
    <row r="8" spans="1:13">
      <c r="A8" s="39" t="s">
        <v>1091</v>
      </c>
      <c r="B8" s="39" t="s">
        <v>1505</v>
      </c>
      <c r="C8" s="39" t="s">
        <v>750</v>
      </c>
      <c r="D8" s="39" t="s">
        <v>1506</v>
      </c>
      <c r="E8" s="39" t="s">
        <v>605</v>
      </c>
      <c r="F8" s="39" t="s">
        <v>269</v>
      </c>
      <c r="G8" s="39" t="s">
        <v>1507</v>
      </c>
      <c r="H8" s="39" t="s">
        <v>1508</v>
      </c>
      <c r="I8" s="39" t="s">
        <v>1094</v>
      </c>
      <c r="J8" s="39" t="s">
        <v>1095</v>
      </c>
      <c r="K8" s="39" t="s">
        <v>1509</v>
      </c>
      <c r="L8" s="39" t="s">
        <v>1510</v>
      </c>
      <c r="M8" s="93" t="s">
        <v>1493</v>
      </c>
    </row>
    <row r="9" spans="1:13">
      <c r="A9" s="36" t="s">
        <v>1107</v>
      </c>
      <c r="B9" s="36" t="s">
        <v>1511</v>
      </c>
      <c r="C9" s="36" t="s">
        <v>722</v>
      </c>
      <c r="D9" s="36" t="s">
        <v>1512</v>
      </c>
      <c r="E9" s="36" t="s">
        <v>125</v>
      </c>
      <c r="F9" s="36" t="s">
        <v>150</v>
      </c>
      <c r="G9" s="36" t="s">
        <v>1101</v>
      </c>
      <c r="H9" s="36" t="s">
        <v>1513</v>
      </c>
      <c r="I9" s="36" t="s">
        <v>1514</v>
      </c>
      <c r="J9" s="36" t="s">
        <v>1111</v>
      </c>
      <c r="K9" s="36" t="s">
        <v>1515</v>
      </c>
      <c r="L9" s="36" t="s">
        <v>1516</v>
      </c>
      <c r="M9" s="93" t="s">
        <v>1493</v>
      </c>
    </row>
    <row r="10" spans="1:13">
      <c r="A10" s="39" t="s">
        <v>1125</v>
      </c>
      <c r="B10" s="39" t="s">
        <v>1517</v>
      </c>
      <c r="C10" s="39" t="s">
        <v>750</v>
      </c>
      <c r="D10" s="39" t="s">
        <v>1518</v>
      </c>
      <c r="E10" s="39" t="s">
        <v>1519</v>
      </c>
      <c r="F10" s="39" t="s">
        <v>68</v>
      </c>
      <c r="G10" s="39" t="s">
        <v>1520</v>
      </c>
      <c r="H10" s="39" t="s">
        <v>1521</v>
      </c>
      <c r="I10" s="39" t="s">
        <v>1127</v>
      </c>
      <c r="J10" s="39" t="s">
        <v>1128</v>
      </c>
      <c r="K10" s="39" t="s">
        <v>1522</v>
      </c>
      <c r="L10" s="39" t="s">
        <v>1523</v>
      </c>
      <c r="M10" s="94" t="s">
        <v>1524</v>
      </c>
    </row>
    <row r="11" spans="1:13">
      <c r="A11" s="36" t="s">
        <v>1142</v>
      </c>
      <c r="B11" s="36" t="s">
        <v>1525</v>
      </c>
      <c r="C11" s="36" t="s">
        <v>722</v>
      </c>
      <c r="D11" s="36" t="s">
        <v>1526</v>
      </c>
      <c r="E11" s="36" t="s">
        <v>1519</v>
      </c>
      <c r="F11" s="36" t="s">
        <v>173</v>
      </c>
      <c r="G11" s="36" t="s">
        <v>1527</v>
      </c>
      <c r="H11" s="36" t="s">
        <v>1528</v>
      </c>
      <c r="I11" s="36" t="s">
        <v>1144</v>
      </c>
      <c r="J11" s="36" t="s">
        <v>1145</v>
      </c>
      <c r="K11" s="36" t="s">
        <v>1529</v>
      </c>
      <c r="L11" s="36" t="s">
        <v>1530</v>
      </c>
      <c r="M11" s="94" t="s">
        <v>1524</v>
      </c>
    </row>
    <row r="12" spans="1:13">
      <c r="A12" s="39" t="s">
        <v>1155</v>
      </c>
      <c r="B12" s="39" t="s">
        <v>1531</v>
      </c>
      <c r="C12" s="39" t="s">
        <v>722</v>
      </c>
      <c r="D12" s="39" t="s">
        <v>1532</v>
      </c>
      <c r="E12" s="39" t="s">
        <v>1519</v>
      </c>
      <c r="F12" s="39" t="s">
        <v>284</v>
      </c>
      <c r="G12" s="39" t="s">
        <v>1533</v>
      </c>
      <c r="H12" s="39" t="s">
        <v>1534</v>
      </c>
      <c r="I12" s="39" t="s">
        <v>981</v>
      </c>
      <c r="J12" s="39" t="s">
        <v>1145</v>
      </c>
      <c r="K12" s="39" t="s">
        <v>1535</v>
      </c>
      <c r="L12" s="39" t="s">
        <v>1536</v>
      </c>
      <c r="M12" s="94" t="s">
        <v>1524</v>
      </c>
    </row>
    <row r="13" spans="1:13">
      <c r="A13" s="36" t="s">
        <v>734</v>
      </c>
      <c r="B13" s="36" t="s">
        <v>1537</v>
      </c>
      <c r="C13" s="36" t="s">
        <v>722</v>
      </c>
      <c r="D13" s="36" t="s">
        <v>1538</v>
      </c>
      <c r="E13" s="36" t="s">
        <v>1519</v>
      </c>
      <c r="F13" s="36" t="s">
        <v>262</v>
      </c>
      <c r="G13" s="36" t="s">
        <v>1539</v>
      </c>
      <c r="H13" s="36" t="s">
        <v>1540</v>
      </c>
      <c r="I13" s="36" t="s">
        <v>1541</v>
      </c>
      <c r="J13" s="36" t="s">
        <v>1111</v>
      </c>
      <c r="K13" s="36" t="s">
        <v>1542</v>
      </c>
      <c r="L13" s="36" t="s">
        <v>1543</v>
      </c>
      <c r="M13" s="93" t="s">
        <v>1493</v>
      </c>
    </row>
    <row r="14" spans="1:13">
      <c r="A14" s="39" t="s">
        <v>741</v>
      </c>
      <c r="B14" s="39" t="s">
        <v>1544</v>
      </c>
      <c r="C14" s="39" t="s">
        <v>739</v>
      </c>
      <c r="D14" s="39" t="s">
        <v>1545</v>
      </c>
      <c r="E14" s="39" t="s">
        <v>125</v>
      </c>
      <c r="F14" s="39" t="s">
        <v>68</v>
      </c>
      <c r="G14" s="39" t="s">
        <v>1546</v>
      </c>
      <c r="H14" s="39" t="s">
        <v>1175</v>
      </c>
      <c r="I14" s="39" t="s">
        <v>1181</v>
      </c>
      <c r="J14" s="39" t="s">
        <v>1182</v>
      </c>
      <c r="K14" s="39" t="s">
        <v>1547</v>
      </c>
      <c r="L14" s="39" t="s">
        <v>1548</v>
      </c>
      <c r="M14" s="93" t="s">
        <v>1493</v>
      </c>
    </row>
    <row r="15" spans="1:13">
      <c r="A15" s="36" t="s">
        <v>1215</v>
      </c>
      <c r="B15" s="36" t="s">
        <v>1549</v>
      </c>
      <c r="C15" s="36" t="s">
        <v>722</v>
      </c>
      <c r="D15" s="36" t="s">
        <v>1550</v>
      </c>
      <c r="E15" s="36" t="s">
        <v>1519</v>
      </c>
      <c r="F15" s="36" t="s">
        <v>1216</v>
      </c>
      <c r="G15" s="36" t="s">
        <v>567</v>
      </c>
      <c r="H15" s="36" t="s">
        <v>1551</v>
      </c>
      <c r="I15" s="36" t="s">
        <v>1127</v>
      </c>
      <c r="J15" s="36" t="s">
        <v>1128</v>
      </c>
      <c r="K15" s="36" t="s">
        <v>1552</v>
      </c>
      <c r="L15" s="36" t="s">
        <v>1553</v>
      </c>
      <c r="M15" s="94" t="s">
        <v>1524</v>
      </c>
    </row>
    <row r="16" spans="1:13">
      <c r="A16" s="39" t="s">
        <v>1240</v>
      </c>
      <c r="B16" s="39" t="s">
        <v>1554</v>
      </c>
      <c r="C16" s="39" t="s">
        <v>733</v>
      </c>
      <c r="D16" s="39" t="s">
        <v>1555</v>
      </c>
      <c r="E16" s="39" t="s">
        <v>1556</v>
      </c>
      <c r="F16" s="39" t="s">
        <v>262</v>
      </c>
      <c r="G16" s="39" t="s">
        <v>733</v>
      </c>
      <c r="H16" s="39" t="s">
        <v>1234</v>
      </c>
      <c r="I16" s="39" t="s">
        <v>1094</v>
      </c>
      <c r="J16" s="39" t="s">
        <v>1095</v>
      </c>
      <c r="K16" s="39" t="s">
        <v>1557</v>
      </c>
      <c r="L16" s="39" t="s">
        <v>1558</v>
      </c>
      <c r="M16" s="93" t="s">
        <v>1493</v>
      </c>
    </row>
    <row r="17" spans="1:13">
      <c r="A17" s="36" t="s">
        <v>1250</v>
      </c>
      <c r="B17" s="36" t="s">
        <v>1559</v>
      </c>
      <c r="C17" s="36" t="s">
        <v>722</v>
      </c>
      <c r="D17" s="36" t="s">
        <v>1560</v>
      </c>
      <c r="E17" s="36" t="s">
        <v>1519</v>
      </c>
      <c r="F17" s="36" t="s">
        <v>1216</v>
      </c>
      <c r="G17" s="36" t="s">
        <v>1561</v>
      </c>
      <c r="H17" s="36" t="s">
        <v>1246</v>
      </c>
      <c r="I17" s="36" t="s">
        <v>1252</v>
      </c>
      <c r="J17" s="36" t="s">
        <v>1195</v>
      </c>
      <c r="K17" s="36" t="s">
        <v>1562</v>
      </c>
      <c r="L17" s="36" t="s">
        <v>1563</v>
      </c>
      <c r="M17" s="94" t="s">
        <v>1524</v>
      </c>
    </row>
    <row r="18" spans="1:13">
      <c r="A18" s="39" t="s">
        <v>729</v>
      </c>
      <c r="B18" s="39" t="s">
        <v>1564</v>
      </c>
      <c r="C18" s="39" t="s">
        <v>728</v>
      </c>
      <c r="D18" s="39" t="s">
        <v>1565</v>
      </c>
      <c r="E18" s="39" t="s">
        <v>1519</v>
      </c>
      <c r="F18" s="39" t="s">
        <v>173</v>
      </c>
      <c r="G18" s="39" t="s">
        <v>1138</v>
      </c>
      <c r="H18" s="39" t="s">
        <v>1566</v>
      </c>
      <c r="I18" s="39" t="s">
        <v>1567</v>
      </c>
      <c r="J18" s="39" t="s">
        <v>978</v>
      </c>
      <c r="K18" s="39" t="s">
        <v>1568</v>
      </c>
      <c r="L18" s="39" t="s">
        <v>1569</v>
      </c>
      <c r="M18" s="93" t="s">
        <v>1493</v>
      </c>
    </row>
    <row r="19" spans="1:13">
      <c r="A19" s="36" t="s">
        <v>718</v>
      </c>
      <c r="B19" s="36" t="s">
        <v>1570</v>
      </c>
      <c r="C19" s="36" t="s">
        <v>716</v>
      </c>
      <c r="D19" s="36" t="s">
        <v>1571</v>
      </c>
      <c r="E19" s="36" t="s">
        <v>1572</v>
      </c>
      <c r="F19" s="36" t="s">
        <v>24</v>
      </c>
      <c r="G19" s="36" t="s">
        <v>1573</v>
      </c>
      <c r="H19" s="36" t="s">
        <v>1574</v>
      </c>
      <c r="I19" s="36" t="s">
        <v>964</v>
      </c>
      <c r="J19" s="36" t="s">
        <v>965</v>
      </c>
      <c r="K19" s="36" t="s">
        <v>1575</v>
      </c>
      <c r="L19" s="36" t="s">
        <v>1576</v>
      </c>
      <c r="M19" s="93" t="s">
        <v>1493</v>
      </c>
    </row>
  </sheetData>
  <mergeCells count="2">
    <mergeCell ref="A1:M1"/>
    <mergeCell ref="A2:M2"/>
  </mergeCells>
  <pageMargins left="0.7" right="0.7" top="0.75" bottom="0.75" header="0.3" footer="0.3"/>
  <pageSetup orientation="portrait"/>
  <headerFooter>
    <oddHeader>&amp;L&amp;C&amp;R</oddHeader>
    <oddFooter>&amp;L&amp;C&amp;R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E828A-6F91-F3BD-58C8-8A62FC924FF3}">
  <dimension ref="A1:J19"/>
  <sheetViews>
    <sheetView zoomScale="140" zoomScaleNormal="140" workbookViewId="0">
      <pane xSplit="1" ySplit="4" topLeftCell="C5" activePane="bottomRight" state="frozen"/>
      <selection pane="topRight" activeCell="B1" sqref="B1"/>
      <selection pane="bottomLeft" activeCell="A5" sqref="A5"/>
      <selection pane="bottomRight" activeCell="A5" sqref="A5"/>
    </sheetView>
  </sheetViews>
  <sheetFormatPr defaultColWidth="8.85546875" defaultRowHeight="15" customHeight="1"/>
  <cols>
    <col min="1" max="1" width="16" bestFit="1" customWidth="1"/>
    <col min="2" max="2" width="38.42578125" bestFit="1" customWidth="1"/>
    <col min="3" max="3" width="32.42578125" bestFit="1" customWidth="1"/>
    <col min="4" max="4" width="33.140625" bestFit="1" customWidth="1"/>
    <col min="5" max="5" width="43.42578125" bestFit="1" customWidth="1"/>
    <col min="6" max="6" width="23.85546875" bestFit="1" customWidth="1"/>
    <col min="7" max="7" width="38.28515625" bestFit="1" customWidth="1"/>
    <col min="8" max="8" width="29.140625" bestFit="1" customWidth="1"/>
    <col min="9" max="9" width="38.7109375" bestFit="1" customWidth="1"/>
    <col min="10" max="10" width="18" customWidth="1"/>
  </cols>
  <sheetData>
    <row r="1" spans="1:10" ht="18.75">
      <c r="A1" s="198" t="s">
        <v>1577</v>
      </c>
      <c r="B1" s="191"/>
      <c r="C1" s="191"/>
      <c r="D1" s="191"/>
      <c r="E1" s="191"/>
      <c r="F1" s="191"/>
      <c r="G1" s="191"/>
      <c r="H1" s="191"/>
      <c r="I1" s="191"/>
      <c r="J1" s="191"/>
    </row>
    <row r="2" spans="1:10">
      <c r="A2" s="242" t="s">
        <v>1578</v>
      </c>
      <c r="B2" s="191"/>
      <c r="C2" s="191"/>
      <c r="D2" s="191"/>
      <c r="E2" s="191"/>
      <c r="F2" s="191"/>
      <c r="G2" s="191"/>
      <c r="H2" s="191"/>
      <c r="I2" s="191"/>
      <c r="J2" s="191"/>
    </row>
    <row r="3" spans="1:10">
      <c r="A3" s="10" t="s">
        <v>184</v>
      </c>
    </row>
    <row r="4" spans="1:10">
      <c r="A4" s="66" t="s">
        <v>1022</v>
      </c>
      <c r="B4" s="66" t="s">
        <v>1476</v>
      </c>
      <c r="C4" s="66" t="s">
        <v>1579</v>
      </c>
      <c r="D4" s="66" t="s">
        <v>1580</v>
      </c>
      <c r="E4" s="66" t="s">
        <v>1581</v>
      </c>
      <c r="F4" s="66" t="s">
        <v>1582</v>
      </c>
      <c r="G4" s="66" t="s">
        <v>1583</v>
      </c>
      <c r="H4" s="66" t="s">
        <v>1584</v>
      </c>
      <c r="I4" s="66" t="s">
        <v>1585</v>
      </c>
      <c r="J4" s="66" t="s">
        <v>1586</v>
      </c>
    </row>
    <row r="5" spans="1:10">
      <c r="A5" s="89" t="s">
        <v>706</v>
      </c>
      <c r="B5" s="89" t="s">
        <v>1485</v>
      </c>
      <c r="C5" s="89" t="s">
        <v>1587</v>
      </c>
      <c r="D5" s="89" t="s">
        <v>1588</v>
      </c>
      <c r="E5" s="89" t="s">
        <v>1589</v>
      </c>
      <c r="F5" s="89" t="s">
        <v>1590</v>
      </c>
      <c r="G5" s="89" t="s">
        <v>1591</v>
      </c>
      <c r="H5" s="89" t="s">
        <v>1592</v>
      </c>
      <c r="I5" s="89" t="s">
        <v>1593</v>
      </c>
      <c r="J5" s="89" t="s">
        <v>42</v>
      </c>
    </row>
    <row r="6" spans="1:10">
      <c r="A6" s="92" t="s">
        <v>1050</v>
      </c>
      <c r="B6" s="92" t="s">
        <v>1494</v>
      </c>
      <c r="C6" s="92" t="s">
        <v>1594</v>
      </c>
      <c r="D6" s="92" t="s">
        <v>1595</v>
      </c>
      <c r="E6" s="92" t="s">
        <v>1596</v>
      </c>
      <c r="F6" s="92" t="s">
        <v>1597</v>
      </c>
      <c r="G6" s="92" t="s">
        <v>1598</v>
      </c>
      <c r="H6" s="92" t="s">
        <v>1599</v>
      </c>
      <c r="I6" s="92" t="s">
        <v>1600</v>
      </c>
      <c r="J6" s="92" t="s">
        <v>42</v>
      </c>
    </row>
    <row r="7" spans="1:10">
      <c r="A7" s="89" t="s">
        <v>1072</v>
      </c>
      <c r="B7" s="89" t="s">
        <v>1500</v>
      </c>
      <c r="C7" s="89" t="s">
        <v>1601</v>
      </c>
      <c r="D7" s="89" t="s">
        <v>1602</v>
      </c>
      <c r="E7" s="89" t="s">
        <v>1603</v>
      </c>
      <c r="F7" s="89" t="s">
        <v>1604</v>
      </c>
      <c r="G7" s="89" t="s">
        <v>1605</v>
      </c>
      <c r="H7" s="89" t="s">
        <v>1606</v>
      </c>
      <c r="I7" s="89" t="s">
        <v>1607</v>
      </c>
      <c r="J7" s="89" t="s">
        <v>1374</v>
      </c>
    </row>
    <row r="8" spans="1:10">
      <c r="A8" s="92" t="s">
        <v>1091</v>
      </c>
      <c r="B8" s="92" t="s">
        <v>1505</v>
      </c>
      <c r="C8" s="92" t="s">
        <v>1594</v>
      </c>
      <c r="D8" s="92" t="s">
        <v>1608</v>
      </c>
      <c r="E8" s="92" t="s">
        <v>1609</v>
      </c>
      <c r="F8" s="92" t="s">
        <v>1610</v>
      </c>
      <c r="G8" s="92" t="s">
        <v>1611</v>
      </c>
      <c r="H8" s="92" t="s">
        <v>1612</v>
      </c>
      <c r="I8" s="92" t="s">
        <v>1613</v>
      </c>
      <c r="J8" s="92" t="s">
        <v>42</v>
      </c>
    </row>
    <row r="9" spans="1:10">
      <c r="A9" s="89" t="s">
        <v>1107</v>
      </c>
      <c r="B9" s="89" t="s">
        <v>1511</v>
      </c>
      <c r="C9" s="89" t="s">
        <v>1614</v>
      </c>
      <c r="D9" s="89" t="s">
        <v>1615</v>
      </c>
      <c r="E9" s="89" t="s">
        <v>1616</v>
      </c>
      <c r="F9" s="89" t="s">
        <v>1617</v>
      </c>
      <c r="G9" s="89" t="s">
        <v>1618</v>
      </c>
      <c r="H9" s="89" t="s">
        <v>1619</v>
      </c>
      <c r="I9" s="89" t="s">
        <v>1620</v>
      </c>
      <c r="J9" s="89" t="s">
        <v>1374</v>
      </c>
    </row>
    <row r="10" spans="1:10">
      <c r="A10" s="92" t="s">
        <v>1125</v>
      </c>
      <c r="B10" s="92" t="s">
        <v>1517</v>
      </c>
      <c r="C10" s="92" t="s">
        <v>1594</v>
      </c>
      <c r="D10" s="92" t="s">
        <v>1608</v>
      </c>
      <c r="E10" s="92" t="s">
        <v>1621</v>
      </c>
      <c r="F10" s="92" t="s">
        <v>1622</v>
      </c>
      <c r="G10" s="92" t="s">
        <v>1623</v>
      </c>
      <c r="H10" s="92" t="s">
        <v>1624</v>
      </c>
      <c r="I10" s="92" t="s">
        <v>1625</v>
      </c>
      <c r="J10" s="92" t="s">
        <v>42</v>
      </c>
    </row>
    <row r="11" spans="1:10">
      <c r="A11" s="89" t="s">
        <v>1142</v>
      </c>
      <c r="B11" s="89" t="s">
        <v>1525</v>
      </c>
      <c r="C11" s="89" t="s">
        <v>1626</v>
      </c>
      <c r="D11" s="89" t="s">
        <v>1594</v>
      </c>
      <c r="E11" s="89" t="s">
        <v>1627</v>
      </c>
      <c r="F11" s="89" t="s">
        <v>1628</v>
      </c>
      <c r="G11" s="89" t="s">
        <v>1629</v>
      </c>
      <c r="H11" s="89" t="s">
        <v>1630</v>
      </c>
      <c r="I11" s="89" t="s">
        <v>1631</v>
      </c>
      <c r="J11" s="89" t="s">
        <v>42</v>
      </c>
    </row>
    <row r="12" spans="1:10">
      <c r="A12" s="92" t="s">
        <v>1155</v>
      </c>
      <c r="B12" s="92" t="s">
        <v>1531</v>
      </c>
      <c r="C12" s="92" t="s">
        <v>1632</v>
      </c>
      <c r="D12" s="92" t="s">
        <v>1633</v>
      </c>
      <c r="E12" s="92" t="s">
        <v>1634</v>
      </c>
      <c r="F12" s="92" t="s">
        <v>1635</v>
      </c>
      <c r="G12" s="92" t="s">
        <v>1636</v>
      </c>
      <c r="H12" s="92" t="s">
        <v>1637</v>
      </c>
      <c r="I12" s="92" t="s">
        <v>1638</v>
      </c>
      <c r="J12" s="92" t="s">
        <v>42</v>
      </c>
    </row>
    <row r="13" spans="1:10">
      <c r="A13" s="89" t="s">
        <v>734</v>
      </c>
      <c r="B13" s="89" t="s">
        <v>1537</v>
      </c>
      <c r="C13" s="89" t="s">
        <v>1632</v>
      </c>
      <c r="D13" s="89" t="s">
        <v>1633</v>
      </c>
      <c r="E13" s="89" t="s">
        <v>1639</v>
      </c>
      <c r="F13" s="89" t="s">
        <v>1635</v>
      </c>
      <c r="G13" s="89" t="s">
        <v>1640</v>
      </c>
      <c r="H13" s="89" t="s">
        <v>1641</v>
      </c>
      <c r="I13" s="89" t="s">
        <v>1642</v>
      </c>
      <c r="J13" s="89" t="s">
        <v>42</v>
      </c>
    </row>
    <row r="14" spans="1:10">
      <c r="A14" s="92" t="s">
        <v>741</v>
      </c>
      <c r="B14" s="92" t="s">
        <v>1544</v>
      </c>
      <c r="C14" s="92" t="s">
        <v>1643</v>
      </c>
      <c r="D14" s="92" t="s">
        <v>1644</v>
      </c>
      <c r="E14" s="92" t="s">
        <v>1645</v>
      </c>
      <c r="F14" s="92" t="s">
        <v>1646</v>
      </c>
      <c r="G14" s="92" t="s">
        <v>1647</v>
      </c>
      <c r="H14" s="92" t="s">
        <v>1648</v>
      </c>
      <c r="I14" s="92" t="s">
        <v>1649</v>
      </c>
      <c r="J14" s="92" t="s">
        <v>1374</v>
      </c>
    </row>
    <row r="15" spans="1:10">
      <c r="A15" s="89" t="s">
        <v>1215</v>
      </c>
      <c r="B15" s="89" t="s">
        <v>1549</v>
      </c>
      <c r="C15" s="89" t="s">
        <v>1650</v>
      </c>
      <c r="D15" s="89" t="s">
        <v>1626</v>
      </c>
      <c r="E15" s="89" t="s">
        <v>1651</v>
      </c>
      <c r="F15" s="89" t="s">
        <v>1652</v>
      </c>
      <c r="G15" s="89" t="s">
        <v>1653</v>
      </c>
      <c r="H15" s="89" t="s">
        <v>1624</v>
      </c>
      <c r="I15" s="89" t="s">
        <v>1654</v>
      </c>
      <c r="J15" s="89" t="s">
        <v>1374</v>
      </c>
    </row>
    <row r="16" spans="1:10">
      <c r="A16" s="92" t="s">
        <v>1240</v>
      </c>
      <c r="B16" s="92" t="s">
        <v>1554</v>
      </c>
      <c r="C16" s="92" t="s">
        <v>1650</v>
      </c>
      <c r="D16" s="92" t="s">
        <v>1626</v>
      </c>
      <c r="E16" s="92" t="s">
        <v>1655</v>
      </c>
      <c r="F16" s="92" t="s">
        <v>1656</v>
      </c>
      <c r="G16" s="92" t="s">
        <v>1657</v>
      </c>
      <c r="H16" s="92" t="s">
        <v>1612</v>
      </c>
      <c r="I16" s="92" t="s">
        <v>1658</v>
      </c>
      <c r="J16" s="92" t="s">
        <v>1374</v>
      </c>
    </row>
    <row r="17" spans="1:10">
      <c r="A17" s="89" t="s">
        <v>1250</v>
      </c>
      <c r="B17" s="89" t="s">
        <v>1559</v>
      </c>
      <c r="C17" s="89" t="s">
        <v>1594</v>
      </c>
      <c r="D17" s="89" t="s">
        <v>1608</v>
      </c>
      <c r="E17" s="89" t="s">
        <v>1659</v>
      </c>
      <c r="F17" s="89" t="s">
        <v>1660</v>
      </c>
      <c r="G17" s="89" t="s">
        <v>1661</v>
      </c>
      <c r="H17" s="89" t="s">
        <v>1662</v>
      </c>
      <c r="I17" s="89" t="s">
        <v>1658</v>
      </c>
      <c r="J17" s="89" t="s">
        <v>42</v>
      </c>
    </row>
    <row r="18" spans="1:10">
      <c r="A18" s="92" t="s">
        <v>729</v>
      </c>
      <c r="B18" s="92" t="s">
        <v>1564</v>
      </c>
      <c r="C18" s="92" t="s">
        <v>1663</v>
      </c>
      <c r="D18" s="92" t="s">
        <v>1664</v>
      </c>
      <c r="E18" s="92" t="s">
        <v>1665</v>
      </c>
      <c r="F18" s="92" t="s">
        <v>1666</v>
      </c>
      <c r="G18" s="92" t="s">
        <v>1667</v>
      </c>
      <c r="H18" s="92" t="s">
        <v>1668</v>
      </c>
      <c r="I18" s="92" t="s">
        <v>1669</v>
      </c>
      <c r="J18" s="92" t="s">
        <v>1374</v>
      </c>
    </row>
    <row r="19" spans="1:10">
      <c r="A19" s="89" t="s">
        <v>718</v>
      </c>
      <c r="B19" s="89" t="s">
        <v>1570</v>
      </c>
      <c r="C19" s="89" t="s">
        <v>1594</v>
      </c>
      <c r="D19" s="89" t="s">
        <v>1670</v>
      </c>
      <c r="E19" s="89" t="s">
        <v>1671</v>
      </c>
      <c r="F19" s="89" t="s">
        <v>1672</v>
      </c>
      <c r="G19" s="89" t="s">
        <v>1673</v>
      </c>
      <c r="H19" s="89" t="s">
        <v>1674</v>
      </c>
      <c r="I19" s="89" t="s">
        <v>1675</v>
      </c>
      <c r="J19" s="89" t="s">
        <v>42</v>
      </c>
    </row>
  </sheetData>
  <mergeCells count="2">
    <mergeCell ref="A1:J1"/>
    <mergeCell ref="A2:J2"/>
  </mergeCells>
  <pageMargins left="0.7" right="0.7" top="0.75" bottom="0.75" header="0.3" footer="0.3"/>
  <pageSetup orientation="portrait"/>
  <headerFooter>
    <oddHeader>&amp;L&amp;C&amp;R</oddHeader>
    <oddFooter>&amp;L&amp;C&amp;R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3708-706F-C5F3-3BB6-0B73C3B75CD8}">
  <dimension ref="A1:Q28"/>
  <sheetViews>
    <sheetView workbookViewId="0">
      <pane ySplit="4" topLeftCell="A5" activePane="bottomLeft" state="frozen"/>
      <selection pane="bottomLeft" sqref="A1:N1"/>
    </sheetView>
  </sheetViews>
  <sheetFormatPr defaultColWidth="8.85546875" defaultRowHeight="15" customHeight="1"/>
  <cols>
    <col min="1" max="1" width="16" bestFit="1" customWidth="1"/>
    <col min="2" max="2" width="11.42578125" bestFit="1" customWidth="1"/>
    <col min="3" max="3" width="9.7109375" bestFit="1" customWidth="1"/>
    <col min="4" max="4" width="19.7109375" bestFit="1" customWidth="1"/>
    <col min="5" max="5" width="20.42578125" bestFit="1" customWidth="1"/>
    <col min="6" max="6" width="7.5703125" bestFit="1" customWidth="1"/>
    <col min="7" max="7" width="16.7109375" bestFit="1" customWidth="1"/>
    <col min="8" max="8" width="9.85546875" bestFit="1" customWidth="1"/>
    <col min="9" max="9" width="11.140625" bestFit="1" customWidth="1"/>
    <col min="10" max="10" width="16.140625" bestFit="1" customWidth="1"/>
    <col min="11" max="11" width="13.140625" bestFit="1" customWidth="1"/>
    <col min="12" max="12" width="8.140625" bestFit="1" customWidth="1"/>
    <col min="13" max="13" width="17.7109375" bestFit="1" customWidth="1"/>
    <col min="14" max="14" width="45" bestFit="1" customWidth="1"/>
    <col min="16" max="16" width="16.140625" bestFit="1" customWidth="1"/>
    <col min="17" max="17" width="3" bestFit="1" customWidth="1"/>
  </cols>
  <sheetData>
    <row r="1" spans="1:17" ht="18.75">
      <c r="A1" s="198" t="s">
        <v>1676</v>
      </c>
      <c r="B1" s="191"/>
      <c r="C1" s="191"/>
      <c r="D1" s="191"/>
      <c r="E1" s="191"/>
      <c r="F1" s="191"/>
      <c r="G1" s="191"/>
      <c r="H1" s="191"/>
      <c r="I1" s="191"/>
      <c r="J1" s="191"/>
      <c r="K1" s="191"/>
      <c r="L1" s="191"/>
      <c r="M1" s="191"/>
      <c r="N1" s="191"/>
    </row>
    <row r="2" spans="1:17">
      <c r="A2" s="243" t="s">
        <v>1677</v>
      </c>
      <c r="B2" s="191"/>
      <c r="C2" s="191"/>
      <c r="D2" s="191"/>
      <c r="E2" s="191"/>
      <c r="F2" s="191"/>
      <c r="G2" s="191"/>
      <c r="H2" s="191"/>
      <c r="I2" s="191"/>
      <c r="J2" s="191"/>
      <c r="K2" s="191"/>
      <c r="L2" s="191"/>
      <c r="M2" s="191"/>
      <c r="N2" s="191"/>
    </row>
    <row r="3" spans="1:17">
      <c r="A3" s="10" t="s">
        <v>184</v>
      </c>
    </row>
    <row r="4" spans="1:17">
      <c r="A4" s="81" t="s">
        <v>1678</v>
      </c>
      <c r="B4" s="81" t="s">
        <v>1679</v>
      </c>
      <c r="C4" s="81" t="s">
        <v>1022</v>
      </c>
      <c r="D4" s="81" t="s">
        <v>1680</v>
      </c>
      <c r="E4" s="81" t="s">
        <v>1681</v>
      </c>
      <c r="F4" s="81" t="s">
        <v>1682</v>
      </c>
      <c r="G4" s="81" t="s">
        <v>17</v>
      </c>
      <c r="H4" s="81" t="s">
        <v>277</v>
      </c>
      <c r="I4" s="81" t="s">
        <v>275</v>
      </c>
      <c r="J4" s="81" t="s">
        <v>1683</v>
      </c>
      <c r="K4" s="81" t="s">
        <v>1684</v>
      </c>
      <c r="L4" s="81" t="s">
        <v>1685</v>
      </c>
      <c r="M4" s="81" t="s">
        <v>1686</v>
      </c>
      <c r="N4" s="81" t="s">
        <v>1687</v>
      </c>
      <c r="P4" s="244" t="s">
        <v>1688</v>
      </c>
      <c r="Q4" s="191"/>
    </row>
    <row r="5" spans="1:17">
      <c r="A5" s="81" t="s">
        <v>1689</v>
      </c>
      <c r="B5" s="81">
        <v>46027</v>
      </c>
      <c r="C5" s="81" t="s">
        <v>706</v>
      </c>
      <c r="D5" s="81" t="s">
        <v>1690</v>
      </c>
      <c r="E5" s="81" t="s">
        <v>1101</v>
      </c>
      <c r="F5" s="95" t="s">
        <v>1493</v>
      </c>
      <c r="G5" s="81" t="s">
        <v>181</v>
      </c>
      <c r="H5" s="96" t="s">
        <v>1691</v>
      </c>
      <c r="I5" s="81">
        <v>46037</v>
      </c>
      <c r="J5" s="81">
        <v>46036</v>
      </c>
      <c r="K5" s="81">
        <f t="shared" ref="K5:K28" ca="1" si="0">IF(J5="",TODAY()-B5,J5-B5)</f>
        <v>9</v>
      </c>
      <c r="L5" s="96" t="str">
        <f t="shared" ref="L5:L28" si="1">IF(J5="","Open",IF(J5&lt;=I5,"Yes","No"))</f>
        <v>Yes</v>
      </c>
      <c r="M5" s="81" t="s">
        <v>348</v>
      </c>
      <c r="N5" s="81" t="s">
        <v>1692</v>
      </c>
      <c r="P5" s="97" t="s">
        <v>1693</v>
      </c>
      <c r="Q5" s="98">
        <f>COUNTA(A5:A28)</f>
        <v>24</v>
      </c>
    </row>
    <row r="6" spans="1:17">
      <c r="A6" s="81" t="s">
        <v>1694</v>
      </c>
      <c r="B6" s="81">
        <v>46029</v>
      </c>
      <c r="C6" s="81" t="s">
        <v>718</v>
      </c>
      <c r="D6" s="81" t="s">
        <v>1695</v>
      </c>
      <c r="E6" s="81" t="s">
        <v>1138</v>
      </c>
      <c r="F6" s="95" t="s">
        <v>1493</v>
      </c>
      <c r="G6" s="81" t="s">
        <v>24</v>
      </c>
      <c r="H6" s="96" t="s">
        <v>1691</v>
      </c>
      <c r="I6" s="81">
        <v>46059</v>
      </c>
      <c r="J6" s="81">
        <v>46057</v>
      </c>
      <c r="K6" s="81">
        <f t="shared" ca="1" si="0"/>
        <v>28</v>
      </c>
      <c r="L6" s="96" t="str">
        <f t="shared" si="1"/>
        <v>Yes</v>
      </c>
      <c r="M6" s="81" t="s">
        <v>1268</v>
      </c>
      <c r="N6" s="81" t="s">
        <v>1696</v>
      </c>
      <c r="P6" s="97" t="s">
        <v>930</v>
      </c>
      <c r="Q6" s="98">
        <f>COUNTIF(H5:H28,"Open")</f>
        <v>2</v>
      </c>
    </row>
    <row r="7" spans="1:17">
      <c r="A7" s="81" t="s">
        <v>1697</v>
      </c>
      <c r="B7" s="81">
        <v>46034</v>
      </c>
      <c r="C7" s="81" t="s">
        <v>1107</v>
      </c>
      <c r="D7" s="81" t="s">
        <v>1698</v>
      </c>
      <c r="E7" s="81" t="s">
        <v>1101</v>
      </c>
      <c r="F7" s="99" t="s">
        <v>1699</v>
      </c>
      <c r="G7" s="81" t="s">
        <v>262</v>
      </c>
      <c r="H7" s="96" t="s">
        <v>1691</v>
      </c>
      <c r="I7" s="81">
        <v>46065</v>
      </c>
      <c r="J7" s="81">
        <v>46062</v>
      </c>
      <c r="K7" s="81">
        <f t="shared" ca="1" si="0"/>
        <v>28</v>
      </c>
      <c r="L7" s="96" t="str">
        <f t="shared" si="1"/>
        <v>Yes</v>
      </c>
      <c r="M7" s="81" t="s">
        <v>343</v>
      </c>
      <c r="N7" s="81" t="s">
        <v>1700</v>
      </c>
      <c r="P7" s="97" t="s">
        <v>1108</v>
      </c>
      <c r="Q7" s="98">
        <f>COUNTIF(H5:H28,"In Progress")</f>
        <v>4</v>
      </c>
    </row>
    <row r="8" spans="1:17">
      <c r="A8" s="81" t="s">
        <v>1701</v>
      </c>
      <c r="B8" s="81">
        <v>46037</v>
      </c>
      <c r="C8" s="81" t="s">
        <v>1142</v>
      </c>
      <c r="D8" s="81" t="s">
        <v>1702</v>
      </c>
      <c r="E8" s="81" t="s">
        <v>326</v>
      </c>
      <c r="F8" s="100" t="s">
        <v>1524</v>
      </c>
      <c r="G8" s="81" t="s">
        <v>173</v>
      </c>
      <c r="H8" s="96" t="s">
        <v>1691</v>
      </c>
      <c r="I8" s="81">
        <v>46051</v>
      </c>
      <c r="J8" s="81">
        <v>46049</v>
      </c>
      <c r="K8" s="81">
        <f t="shared" ca="1" si="0"/>
        <v>12</v>
      </c>
      <c r="L8" s="96" t="str">
        <f t="shared" si="1"/>
        <v>Yes</v>
      </c>
      <c r="M8" s="81" t="s">
        <v>335</v>
      </c>
      <c r="N8" s="81" t="s">
        <v>1703</v>
      </c>
      <c r="P8" s="97" t="s">
        <v>1691</v>
      </c>
      <c r="Q8" s="98">
        <f>COUNTIF(H5:H28,"Closed")</f>
        <v>18</v>
      </c>
    </row>
    <row r="9" spans="1:17">
      <c r="A9" s="81" t="s">
        <v>1704</v>
      </c>
      <c r="B9" s="81">
        <v>46042</v>
      </c>
      <c r="C9" s="81" t="s">
        <v>729</v>
      </c>
      <c r="D9" s="81" t="s">
        <v>1705</v>
      </c>
      <c r="E9" s="81" t="s">
        <v>1138</v>
      </c>
      <c r="F9" s="95" t="s">
        <v>1493</v>
      </c>
      <c r="G9" s="81" t="s">
        <v>173</v>
      </c>
      <c r="H9" s="96" t="s">
        <v>1691</v>
      </c>
      <c r="I9" s="81">
        <v>46056</v>
      </c>
      <c r="J9" s="81">
        <v>46055</v>
      </c>
      <c r="K9" s="81">
        <f t="shared" ca="1" si="0"/>
        <v>13</v>
      </c>
      <c r="L9" s="96" t="str">
        <f t="shared" si="1"/>
        <v>Yes</v>
      </c>
      <c r="M9" s="81" t="s">
        <v>1175</v>
      </c>
      <c r="N9" s="81" t="s">
        <v>1706</v>
      </c>
      <c r="P9" s="97" t="s">
        <v>1685</v>
      </c>
      <c r="Q9" s="98">
        <f>COUNTIF(L5:L28,"Yes")</f>
        <v>16</v>
      </c>
    </row>
    <row r="10" spans="1:17">
      <c r="A10" s="81" t="s">
        <v>1707</v>
      </c>
      <c r="B10" s="81">
        <v>46046</v>
      </c>
      <c r="C10" s="81" t="s">
        <v>706</v>
      </c>
      <c r="D10" s="81" t="s">
        <v>1690</v>
      </c>
      <c r="E10" s="81" t="s">
        <v>1258</v>
      </c>
      <c r="F10" s="100" t="s">
        <v>1524</v>
      </c>
      <c r="G10" s="81" t="s">
        <v>181</v>
      </c>
      <c r="H10" s="96" t="s">
        <v>1691</v>
      </c>
      <c r="I10" s="81">
        <v>46063</v>
      </c>
      <c r="J10" s="81">
        <v>46060</v>
      </c>
      <c r="K10" s="81">
        <f t="shared" ca="1" si="0"/>
        <v>14</v>
      </c>
      <c r="L10" s="96" t="str">
        <f t="shared" si="1"/>
        <v>Yes</v>
      </c>
      <c r="M10" s="81" t="s">
        <v>340</v>
      </c>
      <c r="N10" s="81" t="s">
        <v>1708</v>
      </c>
      <c r="P10" s="97" t="s">
        <v>1709</v>
      </c>
      <c r="Q10" s="98">
        <f>COUNTIF(L5:L28,"No")</f>
        <v>2</v>
      </c>
    </row>
    <row r="11" spans="1:17">
      <c r="A11" s="81" t="s">
        <v>1710</v>
      </c>
      <c r="B11" s="81">
        <v>46055</v>
      </c>
      <c r="C11" s="81" t="s">
        <v>741</v>
      </c>
      <c r="D11" s="81" t="s">
        <v>1711</v>
      </c>
      <c r="E11" s="81" t="s">
        <v>1068</v>
      </c>
      <c r="F11" s="99" t="s">
        <v>1699</v>
      </c>
      <c r="G11" s="81" t="s">
        <v>68</v>
      </c>
      <c r="H11" s="96" t="s">
        <v>1691</v>
      </c>
      <c r="I11" s="81">
        <v>46056</v>
      </c>
      <c r="J11" s="81">
        <v>46056</v>
      </c>
      <c r="K11" s="81">
        <f t="shared" ca="1" si="0"/>
        <v>1</v>
      </c>
      <c r="L11" s="96" t="str">
        <f t="shared" si="1"/>
        <v>Yes</v>
      </c>
      <c r="M11" s="81" t="s">
        <v>1066</v>
      </c>
      <c r="N11" s="81" t="s">
        <v>1712</v>
      </c>
      <c r="P11" s="97" t="s">
        <v>1713</v>
      </c>
      <c r="Q11" s="98">
        <f>COUNTIF(F5:F28,"Critical")+COUNTIF(F5:F28,"High")</f>
        <v>11</v>
      </c>
    </row>
    <row r="12" spans="1:17">
      <c r="A12" s="81" t="s">
        <v>1714</v>
      </c>
      <c r="B12" s="81">
        <v>46059</v>
      </c>
      <c r="C12" s="81" t="s">
        <v>734</v>
      </c>
      <c r="D12" s="81" t="s">
        <v>1690</v>
      </c>
      <c r="E12" s="81" t="s">
        <v>1165</v>
      </c>
      <c r="F12" s="100" t="s">
        <v>1524</v>
      </c>
      <c r="G12" s="81" t="s">
        <v>181</v>
      </c>
      <c r="H12" s="96" t="s">
        <v>1691</v>
      </c>
      <c r="I12" s="81">
        <v>46073</v>
      </c>
      <c r="J12" s="81">
        <v>46071</v>
      </c>
      <c r="K12" s="81">
        <f t="shared" ca="1" si="0"/>
        <v>12</v>
      </c>
      <c r="L12" s="96" t="str">
        <f t="shared" si="1"/>
        <v>Yes</v>
      </c>
      <c r="M12" s="81" t="s">
        <v>1163</v>
      </c>
      <c r="N12" s="81" t="s">
        <v>1715</v>
      </c>
      <c r="P12" s="97" t="s">
        <v>1716</v>
      </c>
      <c r="Q12" s="101">
        <f ca="1">AVERAGEIF(H5:H28,"Closed",K5:K28)</f>
        <v>13.5</v>
      </c>
    </row>
    <row r="13" spans="1:17">
      <c r="A13" s="81" t="s">
        <v>1717</v>
      </c>
      <c r="B13" s="81">
        <v>46063</v>
      </c>
      <c r="C13" s="81" t="s">
        <v>1050</v>
      </c>
      <c r="D13" s="81" t="s">
        <v>1718</v>
      </c>
      <c r="E13" s="81" t="s">
        <v>910</v>
      </c>
      <c r="F13" s="100" t="s">
        <v>1524</v>
      </c>
      <c r="G13" s="81" t="s">
        <v>68</v>
      </c>
      <c r="H13" s="96" t="s">
        <v>1691</v>
      </c>
      <c r="I13" s="81">
        <v>46077</v>
      </c>
      <c r="J13" s="81">
        <v>46076</v>
      </c>
      <c r="K13" s="81">
        <f t="shared" ca="1" si="0"/>
        <v>13</v>
      </c>
      <c r="L13" s="96" t="str">
        <f t="shared" si="1"/>
        <v>Yes</v>
      </c>
      <c r="M13" s="81" t="s">
        <v>1042</v>
      </c>
      <c r="N13" s="81" t="s">
        <v>1719</v>
      </c>
    </row>
    <row r="14" spans="1:17">
      <c r="A14" s="81" t="s">
        <v>1720</v>
      </c>
      <c r="B14" s="81">
        <v>46065</v>
      </c>
      <c r="C14" s="81" t="s">
        <v>1107</v>
      </c>
      <c r="D14" s="81" t="s">
        <v>1711</v>
      </c>
      <c r="E14" s="81" t="s">
        <v>1101</v>
      </c>
      <c r="F14" s="95" t="s">
        <v>1493</v>
      </c>
      <c r="G14" s="81" t="s">
        <v>150</v>
      </c>
      <c r="H14" s="96" t="s">
        <v>1691</v>
      </c>
      <c r="I14" s="81">
        <v>46066</v>
      </c>
      <c r="J14" s="81">
        <v>46066</v>
      </c>
      <c r="K14" s="81">
        <f t="shared" ca="1" si="0"/>
        <v>1</v>
      </c>
      <c r="L14" s="96" t="str">
        <f t="shared" si="1"/>
        <v>Yes</v>
      </c>
      <c r="M14" s="81" t="s">
        <v>343</v>
      </c>
      <c r="N14" s="81" t="s">
        <v>1721</v>
      </c>
    </row>
    <row r="15" spans="1:17">
      <c r="A15" s="81" t="s">
        <v>1722</v>
      </c>
      <c r="B15" s="81">
        <v>46071</v>
      </c>
      <c r="C15" s="81" t="s">
        <v>718</v>
      </c>
      <c r="D15" s="81" t="s">
        <v>1695</v>
      </c>
      <c r="E15" s="81" t="s">
        <v>1068</v>
      </c>
      <c r="F15" s="95" t="s">
        <v>1493</v>
      </c>
      <c r="G15" s="81" t="s">
        <v>24</v>
      </c>
      <c r="H15" s="100" t="s">
        <v>1108</v>
      </c>
      <c r="I15" s="81">
        <v>46162</v>
      </c>
      <c r="J15" s="81"/>
      <c r="K15" s="81">
        <f t="shared" ca="1" si="0"/>
        <v>169</v>
      </c>
      <c r="L15" s="102" t="str">
        <f t="shared" si="1"/>
        <v>Open</v>
      </c>
      <c r="M15" s="81" t="s">
        <v>1119</v>
      </c>
      <c r="N15" s="81" t="s">
        <v>1723</v>
      </c>
    </row>
    <row r="16" spans="1:17">
      <c r="A16" s="81" t="s">
        <v>1724</v>
      </c>
      <c r="B16" s="81">
        <v>46075</v>
      </c>
      <c r="C16" s="81" t="s">
        <v>729</v>
      </c>
      <c r="D16" s="81" t="s">
        <v>1725</v>
      </c>
      <c r="E16" s="81" t="s">
        <v>740</v>
      </c>
      <c r="F16" s="100" t="s">
        <v>1524</v>
      </c>
      <c r="G16" s="81" t="s">
        <v>173</v>
      </c>
      <c r="H16" s="96" t="s">
        <v>1691</v>
      </c>
      <c r="I16" s="81">
        <v>46089</v>
      </c>
      <c r="J16" s="81">
        <v>46087</v>
      </c>
      <c r="K16" s="81">
        <f t="shared" ca="1" si="0"/>
        <v>12</v>
      </c>
      <c r="L16" s="96" t="str">
        <f t="shared" si="1"/>
        <v>Yes</v>
      </c>
      <c r="M16" s="81" t="s">
        <v>1175</v>
      </c>
      <c r="N16" s="81" t="s">
        <v>1726</v>
      </c>
    </row>
    <row r="17" spans="1:14">
      <c r="A17" s="81" t="s">
        <v>1727</v>
      </c>
      <c r="B17" s="81">
        <v>46080</v>
      </c>
      <c r="C17" s="81" t="s">
        <v>706</v>
      </c>
      <c r="D17" s="81" t="s">
        <v>1690</v>
      </c>
      <c r="E17" s="81" t="s">
        <v>567</v>
      </c>
      <c r="F17" s="100" t="s">
        <v>1524</v>
      </c>
      <c r="G17" s="81" t="s">
        <v>181</v>
      </c>
      <c r="H17" s="96" t="s">
        <v>1691</v>
      </c>
      <c r="I17" s="81">
        <v>46094</v>
      </c>
      <c r="J17" s="81">
        <v>46092</v>
      </c>
      <c r="K17" s="81">
        <f t="shared" ca="1" si="0"/>
        <v>12</v>
      </c>
      <c r="L17" s="96" t="str">
        <f t="shared" si="1"/>
        <v>Yes</v>
      </c>
      <c r="M17" s="81" t="s">
        <v>1246</v>
      </c>
      <c r="N17" s="81" t="s">
        <v>1728</v>
      </c>
    </row>
    <row r="18" spans="1:14">
      <c r="A18" s="81" t="s">
        <v>1729</v>
      </c>
      <c r="B18" s="81">
        <v>46083</v>
      </c>
      <c r="C18" s="81" t="s">
        <v>1107</v>
      </c>
      <c r="D18" s="81" t="s">
        <v>1730</v>
      </c>
      <c r="E18" s="81" t="s">
        <v>1101</v>
      </c>
      <c r="F18" s="102" t="s">
        <v>1731</v>
      </c>
      <c r="G18" s="81" t="s">
        <v>150</v>
      </c>
      <c r="H18" s="96" t="s">
        <v>1691</v>
      </c>
      <c r="I18" s="81">
        <v>46114</v>
      </c>
      <c r="J18" s="81">
        <v>46109</v>
      </c>
      <c r="K18" s="81">
        <f t="shared" ca="1" si="0"/>
        <v>26</v>
      </c>
      <c r="L18" s="96" t="str">
        <f t="shared" si="1"/>
        <v>Yes</v>
      </c>
      <c r="M18" s="81" t="s">
        <v>343</v>
      </c>
      <c r="N18" s="81" t="s">
        <v>1732</v>
      </c>
    </row>
    <row r="19" spans="1:14">
      <c r="A19" s="81" t="s">
        <v>1733</v>
      </c>
      <c r="B19" s="81">
        <v>46090</v>
      </c>
      <c r="C19" s="81" t="s">
        <v>1050</v>
      </c>
      <c r="D19" s="81" t="s">
        <v>1734</v>
      </c>
      <c r="E19" s="81" t="s">
        <v>1044</v>
      </c>
      <c r="F19" s="95" t="s">
        <v>1493</v>
      </c>
      <c r="G19" s="81" t="s">
        <v>68</v>
      </c>
      <c r="H19" s="96" t="s">
        <v>1691</v>
      </c>
      <c r="I19" s="81">
        <v>46104</v>
      </c>
      <c r="J19" s="81">
        <v>46105</v>
      </c>
      <c r="K19" s="81">
        <f t="shared" ca="1" si="0"/>
        <v>15</v>
      </c>
      <c r="L19" s="103" t="str">
        <f t="shared" si="1"/>
        <v>No</v>
      </c>
      <c r="M19" s="81" t="s">
        <v>1042</v>
      </c>
      <c r="N19" s="81" t="s">
        <v>1735</v>
      </c>
    </row>
    <row r="20" spans="1:14">
      <c r="A20" s="81" t="s">
        <v>1736</v>
      </c>
      <c r="B20" s="81">
        <v>46096</v>
      </c>
      <c r="C20" s="81" t="s">
        <v>741</v>
      </c>
      <c r="D20" s="81" t="s">
        <v>1711</v>
      </c>
      <c r="E20" s="81" t="s">
        <v>1101</v>
      </c>
      <c r="F20" s="95" t="s">
        <v>1493</v>
      </c>
      <c r="G20" s="81" t="s">
        <v>68</v>
      </c>
      <c r="H20" s="96" t="s">
        <v>1691</v>
      </c>
      <c r="I20" s="81">
        <v>46097</v>
      </c>
      <c r="J20" s="81">
        <v>46098</v>
      </c>
      <c r="K20" s="81">
        <f t="shared" ca="1" si="0"/>
        <v>2</v>
      </c>
      <c r="L20" s="103" t="str">
        <f t="shared" si="1"/>
        <v>No</v>
      </c>
      <c r="M20" s="81" t="s">
        <v>348</v>
      </c>
      <c r="N20" s="81" t="s">
        <v>1737</v>
      </c>
    </row>
    <row r="21" spans="1:14">
      <c r="A21" s="81" t="s">
        <v>1738</v>
      </c>
      <c r="B21" s="81">
        <v>46101</v>
      </c>
      <c r="C21" s="81" t="s">
        <v>1142</v>
      </c>
      <c r="D21" s="81" t="s">
        <v>1702</v>
      </c>
      <c r="E21" s="81" t="s">
        <v>1258</v>
      </c>
      <c r="F21" s="100" t="s">
        <v>1524</v>
      </c>
      <c r="G21" s="81" t="s">
        <v>173</v>
      </c>
      <c r="H21" s="100" t="s">
        <v>1108</v>
      </c>
      <c r="I21" s="81">
        <v>46162</v>
      </c>
      <c r="J21" s="81"/>
      <c r="K21" s="81">
        <f t="shared" ca="1" si="0"/>
        <v>139</v>
      </c>
      <c r="L21" s="102" t="str">
        <f t="shared" si="1"/>
        <v>Open</v>
      </c>
      <c r="M21" s="81" t="s">
        <v>340</v>
      </c>
      <c r="N21" s="81" t="s">
        <v>1739</v>
      </c>
    </row>
    <row r="22" spans="1:14">
      <c r="A22" s="81" t="s">
        <v>1740</v>
      </c>
      <c r="B22" s="81">
        <v>46108</v>
      </c>
      <c r="C22" s="81" t="s">
        <v>1091</v>
      </c>
      <c r="D22" s="81" t="s">
        <v>1718</v>
      </c>
      <c r="E22" s="81" t="s">
        <v>910</v>
      </c>
      <c r="F22" s="100" t="s">
        <v>1524</v>
      </c>
      <c r="G22" s="81" t="s">
        <v>269</v>
      </c>
      <c r="H22" s="96" t="s">
        <v>1691</v>
      </c>
      <c r="I22" s="81">
        <v>46122</v>
      </c>
      <c r="J22" s="81">
        <v>46120</v>
      </c>
      <c r="K22" s="81">
        <f t="shared" ca="1" si="0"/>
        <v>12</v>
      </c>
      <c r="L22" s="96" t="str">
        <f t="shared" si="1"/>
        <v>Yes</v>
      </c>
      <c r="M22" s="81" t="s">
        <v>1083</v>
      </c>
      <c r="N22" s="81" t="s">
        <v>1741</v>
      </c>
    </row>
    <row r="23" spans="1:14">
      <c r="A23" s="81" t="s">
        <v>1742</v>
      </c>
      <c r="B23" s="81">
        <v>46114</v>
      </c>
      <c r="C23" s="81" t="s">
        <v>1155</v>
      </c>
      <c r="D23" s="81" t="s">
        <v>1690</v>
      </c>
      <c r="E23" s="81" t="s">
        <v>326</v>
      </c>
      <c r="F23" s="100" t="s">
        <v>1524</v>
      </c>
      <c r="G23" s="81" t="s">
        <v>181</v>
      </c>
      <c r="H23" s="96" t="s">
        <v>1691</v>
      </c>
      <c r="I23" s="81">
        <v>46128</v>
      </c>
      <c r="J23" s="81">
        <v>46127</v>
      </c>
      <c r="K23" s="81">
        <f t="shared" ca="1" si="0"/>
        <v>13</v>
      </c>
      <c r="L23" s="96" t="str">
        <f t="shared" si="1"/>
        <v>Yes</v>
      </c>
      <c r="M23" s="81" t="s">
        <v>335</v>
      </c>
      <c r="N23" s="81" t="s">
        <v>1743</v>
      </c>
    </row>
    <row r="24" spans="1:14">
      <c r="A24" s="81" t="s">
        <v>1744</v>
      </c>
      <c r="B24" s="81">
        <v>46120</v>
      </c>
      <c r="C24" s="81" t="s">
        <v>729</v>
      </c>
      <c r="D24" s="81" t="s">
        <v>1705</v>
      </c>
      <c r="E24" s="81" t="s">
        <v>1138</v>
      </c>
      <c r="F24" s="95" t="s">
        <v>1493</v>
      </c>
      <c r="G24" s="81" t="s">
        <v>173</v>
      </c>
      <c r="H24" s="100" t="s">
        <v>1108</v>
      </c>
      <c r="I24" s="81">
        <v>46151</v>
      </c>
      <c r="J24" s="81"/>
      <c r="K24" s="81">
        <f t="shared" ca="1" si="0"/>
        <v>120</v>
      </c>
      <c r="L24" s="102" t="str">
        <f t="shared" si="1"/>
        <v>Open</v>
      </c>
      <c r="M24" s="81" t="s">
        <v>1312</v>
      </c>
      <c r="N24" s="81" t="s">
        <v>1745</v>
      </c>
    </row>
    <row r="25" spans="1:14">
      <c r="A25" s="81" t="s">
        <v>1746</v>
      </c>
      <c r="B25" s="81">
        <v>46124</v>
      </c>
      <c r="C25" s="81" t="s">
        <v>1125</v>
      </c>
      <c r="D25" s="81" t="s">
        <v>1718</v>
      </c>
      <c r="E25" s="81" t="s">
        <v>1068</v>
      </c>
      <c r="F25" s="102" t="s">
        <v>1731</v>
      </c>
      <c r="G25" s="81" t="s">
        <v>68</v>
      </c>
      <c r="H25" s="96" t="s">
        <v>1691</v>
      </c>
      <c r="I25" s="81">
        <v>46145</v>
      </c>
      <c r="J25" s="81">
        <v>46144</v>
      </c>
      <c r="K25" s="81">
        <f t="shared" ca="1" si="0"/>
        <v>20</v>
      </c>
      <c r="L25" s="96" t="str">
        <f t="shared" si="1"/>
        <v>Yes</v>
      </c>
      <c r="M25" s="81" t="s">
        <v>1119</v>
      </c>
      <c r="N25" s="81" t="s">
        <v>1747</v>
      </c>
    </row>
    <row r="26" spans="1:14">
      <c r="A26" s="81" t="s">
        <v>1748</v>
      </c>
      <c r="B26" s="81">
        <v>46130</v>
      </c>
      <c r="C26" s="81" t="s">
        <v>718</v>
      </c>
      <c r="D26" s="81" t="s">
        <v>1695</v>
      </c>
      <c r="E26" s="81" t="s">
        <v>1068</v>
      </c>
      <c r="F26" s="95" t="s">
        <v>1493</v>
      </c>
      <c r="G26" s="81" t="s">
        <v>24</v>
      </c>
      <c r="H26" s="104" t="s">
        <v>930</v>
      </c>
      <c r="I26" s="81">
        <v>46160</v>
      </c>
      <c r="J26" s="81"/>
      <c r="K26" s="81">
        <f t="shared" ca="1" si="0"/>
        <v>110</v>
      </c>
      <c r="L26" s="102" t="str">
        <f t="shared" si="1"/>
        <v>Open</v>
      </c>
      <c r="M26" s="81" t="s">
        <v>1289</v>
      </c>
      <c r="N26" s="81" t="s">
        <v>1749</v>
      </c>
    </row>
    <row r="27" spans="1:14">
      <c r="A27" s="81" t="s">
        <v>1750</v>
      </c>
      <c r="B27" s="81">
        <v>46135</v>
      </c>
      <c r="C27" s="81" t="s">
        <v>734</v>
      </c>
      <c r="D27" s="81" t="s">
        <v>1698</v>
      </c>
      <c r="E27" s="81" t="s">
        <v>1165</v>
      </c>
      <c r="F27" s="100" t="s">
        <v>1524</v>
      </c>
      <c r="G27" s="81" t="s">
        <v>262</v>
      </c>
      <c r="H27" s="100" t="s">
        <v>1108</v>
      </c>
      <c r="I27" s="81">
        <v>46149</v>
      </c>
      <c r="J27" s="81"/>
      <c r="K27" s="81">
        <f t="shared" ca="1" si="0"/>
        <v>105</v>
      </c>
      <c r="L27" s="102" t="str">
        <f t="shared" si="1"/>
        <v>Open</v>
      </c>
      <c r="M27" s="81" t="s">
        <v>1163</v>
      </c>
      <c r="N27" s="81" t="s">
        <v>1751</v>
      </c>
    </row>
    <row r="28" spans="1:14">
      <c r="A28" s="81" t="s">
        <v>1752</v>
      </c>
      <c r="B28" s="81">
        <v>46141</v>
      </c>
      <c r="C28" s="81" t="s">
        <v>706</v>
      </c>
      <c r="D28" s="81" t="s">
        <v>1690</v>
      </c>
      <c r="E28" s="81" t="s">
        <v>1190</v>
      </c>
      <c r="F28" s="100" t="s">
        <v>1524</v>
      </c>
      <c r="G28" s="81" t="s">
        <v>181</v>
      </c>
      <c r="H28" s="104" t="s">
        <v>930</v>
      </c>
      <c r="I28" s="81">
        <v>46162</v>
      </c>
      <c r="J28" s="81"/>
      <c r="K28" s="81">
        <f t="shared" ca="1" si="0"/>
        <v>99</v>
      </c>
      <c r="L28" s="102" t="str">
        <f t="shared" si="1"/>
        <v>Open</v>
      </c>
      <c r="M28" s="81" t="s">
        <v>1280</v>
      </c>
      <c r="N28" s="81" t="s">
        <v>1753</v>
      </c>
    </row>
  </sheetData>
  <mergeCells count="3">
    <mergeCell ref="A1:N1"/>
    <mergeCell ref="A2:N2"/>
    <mergeCell ref="P4:Q4"/>
  </mergeCells>
  <pageMargins left="0.7" right="0.7" top="0.75" bottom="0.75" header="0.3" footer="0.3"/>
  <pageSetup orientation="portrait"/>
  <headerFooter>
    <oddHeader>&amp;L&amp;C&amp;R</oddHeader>
    <oddFooter>&amp;L&amp;C&amp;R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3C0DF-1B38-FD18-FA58-0729C4C84C88}">
  <dimension ref="A1:P13"/>
  <sheetViews>
    <sheetView topLeftCell="G1" workbookViewId="0">
      <pane ySplit="4" topLeftCell="A5" activePane="bottomLeft" state="frozen"/>
      <selection pane="bottomLeft" activeCell="N4" sqref="N4"/>
    </sheetView>
  </sheetViews>
  <sheetFormatPr defaultColWidth="8.85546875" defaultRowHeight="15" customHeight="1"/>
  <cols>
    <col min="1" max="1" width="16" bestFit="1" customWidth="1"/>
    <col min="2" max="2" width="60.85546875" bestFit="1" customWidth="1"/>
    <col min="3" max="3" width="13.28515625" bestFit="1" customWidth="1"/>
    <col min="4" max="4" width="33.140625" bestFit="1" customWidth="1"/>
    <col min="5" max="5" width="18" bestFit="1" customWidth="1"/>
    <col min="6" max="6" width="15.28515625" bestFit="1" customWidth="1"/>
    <col min="7" max="7" width="13.42578125" bestFit="1" customWidth="1"/>
    <col min="8" max="8" width="12.140625" bestFit="1" customWidth="1"/>
    <col min="9" max="9" width="11.42578125" bestFit="1" customWidth="1"/>
    <col min="10" max="10" width="12.85546875" bestFit="1" customWidth="1"/>
    <col min="11" max="11" width="16.7109375" bestFit="1" customWidth="1"/>
    <col min="12" max="12" width="74.28515625" bestFit="1" customWidth="1"/>
    <col min="13" max="13" width="11.42578125" bestFit="1" customWidth="1"/>
    <col min="14" max="14" width="15.85546875" bestFit="1" customWidth="1"/>
    <col min="15" max="15" width="16.7109375" bestFit="1" customWidth="1"/>
    <col min="16" max="16" width="2" bestFit="1" customWidth="1"/>
  </cols>
  <sheetData>
    <row r="1" spans="1:16" ht="18.75">
      <c r="A1" s="198" t="s">
        <v>1754</v>
      </c>
      <c r="B1" s="191"/>
      <c r="C1" s="191"/>
      <c r="D1" s="191"/>
      <c r="E1" s="191"/>
      <c r="F1" s="191"/>
      <c r="G1" s="191"/>
      <c r="H1" s="191"/>
      <c r="I1" s="191"/>
      <c r="J1" s="191"/>
      <c r="K1" s="191"/>
      <c r="L1" s="191"/>
      <c r="M1" s="191"/>
    </row>
    <row r="2" spans="1:16">
      <c r="A2" s="243" t="s">
        <v>1755</v>
      </c>
      <c r="B2" s="191"/>
      <c r="C2" s="191"/>
      <c r="D2" s="191"/>
      <c r="E2" s="191"/>
      <c r="F2" s="191"/>
      <c r="G2" s="191"/>
      <c r="H2" s="191"/>
      <c r="I2" s="191"/>
      <c r="J2" s="191"/>
      <c r="K2" s="191"/>
      <c r="L2" s="191"/>
      <c r="M2" s="191"/>
    </row>
    <row r="3" spans="1:16">
      <c r="A3" s="10" t="s">
        <v>184</v>
      </c>
      <c r="B3" s="11" t="s">
        <v>185</v>
      </c>
    </row>
    <row r="4" spans="1:16">
      <c r="A4" s="81" t="s">
        <v>1756</v>
      </c>
      <c r="B4" s="81" t="s">
        <v>1757</v>
      </c>
      <c r="C4" s="81" t="s">
        <v>1758</v>
      </c>
      <c r="D4" s="81" t="s">
        <v>1759</v>
      </c>
      <c r="E4" s="81" t="s">
        <v>1760</v>
      </c>
      <c r="F4" s="81" t="s">
        <v>1761</v>
      </c>
      <c r="G4" s="81" t="s">
        <v>1762</v>
      </c>
      <c r="H4" s="81" t="s">
        <v>1763</v>
      </c>
      <c r="I4" s="81" t="s">
        <v>1764</v>
      </c>
      <c r="J4" s="81" t="s">
        <v>1765</v>
      </c>
      <c r="K4" s="81" t="s">
        <v>17</v>
      </c>
      <c r="L4" s="81" t="s">
        <v>1766</v>
      </c>
      <c r="M4" s="81" t="s">
        <v>1039</v>
      </c>
      <c r="N4" s="82" t="s">
        <v>1767</v>
      </c>
      <c r="O4" s="244" t="s">
        <v>1768</v>
      </c>
      <c r="P4" s="191"/>
    </row>
    <row r="5" spans="1:16">
      <c r="A5" s="81" t="s">
        <v>1284</v>
      </c>
      <c r="B5" s="81" t="s">
        <v>1769</v>
      </c>
      <c r="C5" s="81" t="s">
        <v>263</v>
      </c>
      <c r="D5" s="81" t="s">
        <v>1770</v>
      </c>
      <c r="E5" s="81">
        <v>2</v>
      </c>
      <c r="F5" s="81">
        <v>4</v>
      </c>
      <c r="G5" s="81">
        <v>1</v>
      </c>
      <c r="H5" s="81"/>
      <c r="I5" s="96" t="s">
        <v>1771</v>
      </c>
      <c r="J5" s="105" t="str">
        <f t="shared" ref="J5:J13" si="0">IF(G5&gt;=F5,"Red",IF(G5&gt;=E5,"Amber","Green"))</f>
        <v>Green</v>
      </c>
      <c r="K5" s="81" t="s">
        <v>68</v>
      </c>
      <c r="L5" s="81" t="s">
        <v>1772</v>
      </c>
      <c r="M5" s="81" t="s">
        <v>1773</v>
      </c>
      <c r="N5" s="29" t="str">
        <f t="shared" ref="N5:N13" si="1">IF(J5="Red","Escalate to AIGF",IF(OR(J5="Amber",I5="Deteriorating"),"Monitor at next AIGF","BAU"))</f>
        <v>BAU</v>
      </c>
      <c r="O5" s="97" t="s">
        <v>1775</v>
      </c>
      <c r="P5" s="98">
        <f>COUNTA(A5:A13)</f>
        <v>9</v>
      </c>
    </row>
    <row r="6" spans="1:16">
      <c r="A6" s="81" t="s">
        <v>1776</v>
      </c>
      <c r="B6" s="81" t="s">
        <v>1777</v>
      </c>
      <c r="C6" s="81" t="s">
        <v>1778</v>
      </c>
      <c r="D6" s="81" t="s">
        <v>1502</v>
      </c>
      <c r="E6" s="81">
        <v>1</v>
      </c>
      <c r="F6" s="81">
        <v>2</v>
      </c>
      <c r="G6" s="81"/>
      <c r="H6" s="81"/>
      <c r="I6" s="106" t="s">
        <v>882</v>
      </c>
      <c r="J6" s="105" t="str">
        <f t="shared" si="0"/>
        <v>Green</v>
      </c>
      <c r="K6" s="81" t="s">
        <v>68</v>
      </c>
      <c r="L6" s="81" t="s">
        <v>1779</v>
      </c>
      <c r="M6" s="81" t="s">
        <v>1773</v>
      </c>
      <c r="N6" s="32" t="str">
        <f t="shared" si="1"/>
        <v>BAU</v>
      </c>
      <c r="O6" s="97" t="s">
        <v>1780</v>
      </c>
      <c r="P6" s="98">
        <f>COUNTIF(J5:J13,"Red")</f>
        <v>0</v>
      </c>
    </row>
    <row r="7" spans="1:16">
      <c r="A7" s="81" t="s">
        <v>1253</v>
      </c>
      <c r="B7" s="81" t="s">
        <v>1781</v>
      </c>
      <c r="C7" s="81" t="s">
        <v>263</v>
      </c>
      <c r="D7" s="81" t="s">
        <v>1497</v>
      </c>
      <c r="E7" s="81">
        <v>1</v>
      </c>
      <c r="F7" s="81">
        <v>3</v>
      </c>
      <c r="G7" s="81"/>
      <c r="H7" s="81"/>
      <c r="I7" s="106" t="s">
        <v>882</v>
      </c>
      <c r="J7" s="105" t="str">
        <f t="shared" si="0"/>
        <v>Green</v>
      </c>
      <c r="K7" s="81" t="s">
        <v>269</v>
      </c>
      <c r="L7" s="81" t="s">
        <v>1782</v>
      </c>
      <c r="M7" s="81" t="s">
        <v>1773</v>
      </c>
      <c r="N7" s="29" t="str">
        <f t="shared" si="1"/>
        <v>BAU</v>
      </c>
      <c r="O7" s="97" t="s">
        <v>76</v>
      </c>
      <c r="P7" s="98">
        <f>COUNTIF(J5:J13,"Amber")</f>
        <v>2</v>
      </c>
    </row>
    <row r="8" spans="1:16">
      <c r="A8" s="81" t="s">
        <v>1307</v>
      </c>
      <c r="B8" s="81" t="s">
        <v>1783</v>
      </c>
      <c r="C8" s="81" t="s">
        <v>270</v>
      </c>
      <c r="D8" s="81" t="s">
        <v>1784</v>
      </c>
      <c r="E8" s="81">
        <v>5</v>
      </c>
      <c r="F8" s="81">
        <v>10</v>
      </c>
      <c r="G8" s="81">
        <v>3</v>
      </c>
      <c r="H8" s="81" t="s">
        <v>1785</v>
      </c>
      <c r="I8" s="96" t="s">
        <v>1771</v>
      </c>
      <c r="J8" s="105" t="str">
        <f t="shared" si="0"/>
        <v>Green</v>
      </c>
      <c r="K8" s="81" t="s">
        <v>150</v>
      </c>
      <c r="L8" s="81" t="s">
        <v>1786</v>
      </c>
      <c r="M8" s="81" t="s">
        <v>1773</v>
      </c>
      <c r="N8" s="32" t="str">
        <f t="shared" si="1"/>
        <v>BAU</v>
      </c>
      <c r="O8" s="97" t="s">
        <v>75</v>
      </c>
      <c r="P8" s="98">
        <f>COUNTIF(J5:J13,"Green")</f>
        <v>7</v>
      </c>
    </row>
    <row r="9" spans="1:16">
      <c r="A9" s="81" t="s">
        <v>1787</v>
      </c>
      <c r="B9" s="81" t="s">
        <v>1788</v>
      </c>
      <c r="C9" s="81" t="s">
        <v>1789</v>
      </c>
      <c r="D9" s="81" t="s">
        <v>1790</v>
      </c>
      <c r="E9" s="81">
        <v>2</v>
      </c>
      <c r="F9" s="81">
        <v>5</v>
      </c>
      <c r="G9" s="81">
        <v>1</v>
      </c>
      <c r="H9" s="81"/>
      <c r="I9" s="106" t="s">
        <v>882</v>
      </c>
      <c r="J9" s="105" t="str">
        <f t="shared" si="0"/>
        <v>Green</v>
      </c>
      <c r="K9" s="81" t="s">
        <v>150</v>
      </c>
      <c r="L9" s="81" t="s">
        <v>1791</v>
      </c>
      <c r="M9" s="81" t="s">
        <v>1773</v>
      </c>
      <c r="N9" s="29" t="str">
        <f t="shared" si="1"/>
        <v>BAU</v>
      </c>
      <c r="O9" s="97" t="s">
        <v>1792</v>
      </c>
      <c r="P9" s="98">
        <f>COUNTIF(I5:I13,"Improving")</f>
        <v>3</v>
      </c>
    </row>
    <row r="10" spans="1:16">
      <c r="A10" s="81" t="s">
        <v>1096</v>
      </c>
      <c r="B10" s="81" t="s">
        <v>1793</v>
      </c>
      <c r="C10" s="81" t="s">
        <v>1794</v>
      </c>
      <c r="D10" s="81" t="s">
        <v>1508</v>
      </c>
      <c r="E10" s="81">
        <v>1</v>
      </c>
      <c r="F10" s="81">
        <v>2</v>
      </c>
      <c r="G10" s="81"/>
      <c r="H10" s="81"/>
      <c r="I10" s="96" t="s">
        <v>1771</v>
      </c>
      <c r="J10" s="105" t="str">
        <f t="shared" si="0"/>
        <v>Green</v>
      </c>
      <c r="K10" s="81" t="s">
        <v>269</v>
      </c>
      <c r="L10" s="81" t="s">
        <v>1795</v>
      </c>
      <c r="M10" s="81" t="s">
        <v>1773</v>
      </c>
      <c r="N10" s="32" t="str">
        <f t="shared" si="1"/>
        <v>BAU</v>
      </c>
      <c r="O10" s="97" t="s">
        <v>1796</v>
      </c>
      <c r="P10" s="98">
        <f>COUNTIF(I5:I13,"Deteriorating")</f>
        <v>1</v>
      </c>
    </row>
    <row r="11" spans="1:16">
      <c r="A11" s="81" t="s">
        <v>1228</v>
      </c>
      <c r="B11" s="81" t="s">
        <v>1797</v>
      </c>
      <c r="C11" s="81" t="s">
        <v>1170</v>
      </c>
      <c r="D11" s="81" t="s">
        <v>1798</v>
      </c>
      <c r="E11" s="81">
        <v>10</v>
      </c>
      <c r="F11" s="81">
        <v>20</v>
      </c>
      <c r="G11" s="81">
        <v>14</v>
      </c>
      <c r="H11" s="81" t="s">
        <v>1799</v>
      </c>
      <c r="I11" s="104" t="s">
        <v>1800</v>
      </c>
      <c r="J11" s="107" t="str">
        <f t="shared" si="0"/>
        <v>Amber</v>
      </c>
      <c r="K11" s="81" t="s">
        <v>173</v>
      </c>
      <c r="L11" s="81" t="s">
        <v>1801</v>
      </c>
      <c r="M11" s="81" t="s">
        <v>1773</v>
      </c>
      <c r="N11" s="29" t="str">
        <f t="shared" si="1"/>
        <v>Monitor at next AIGF</v>
      </c>
    </row>
    <row r="12" spans="1:16">
      <c r="A12" s="81" t="s">
        <v>1129</v>
      </c>
      <c r="B12" s="81" t="s">
        <v>1802</v>
      </c>
      <c r="C12" s="81" t="s">
        <v>1217</v>
      </c>
      <c r="D12" s="81" t="s">
        <v>1803</v>
      </c>
      <c r="E12" s="81">
        <v>4</v>
      </c>
      <c r="F12" s="81">
        <v>8</v>
      </c>
      <c r="G12" s="81">
        <v>3</v>
      </c>
      <c r="H12" s="81" t="s">
        <v>1804</v>
      </c>
      <c r="I12" s="106" t="s">
        <v>882</v>
      </c>
      <c r="J12" s="105" t="str">
        <f t="shared" si="0"/>
        <v>Green</v>
      </c>
      <c r="K12" s="81" t="s">
        <v>68</v>
      </c>
      <c r="L12" s="81" t="s">
        <v>1805</v>
      </c>
      <c r="M12" s="81" t="s">
        <v>1773</v>
      </c>
      <c r="N12" s="32" t="str">
        <f t="shared" si="1"/>
        <v>BAU</v>
      </c>
    </row>
    <row r="13" spans="1:16">
      <c r="A13" s="81" t="s">
        <v>1157</v>
      </c>
      <c r="B13" s="81" t="s">
        <v>1806</v>
      </c>
      <c r="C13" s="81" t="s">
        <v>265</v>
      </c>
      <c r="D13" s="81" t="s">
        <v>1807</v>
      </c>
      <c r="E13" s="81">
        <v>2</v>
      </c>
      <c r="F13" s="81">
        <v>5</v>
      </c>
      <c r="G13" s="81">
        <v>2</v>
      </c>
      <c r="H13" s="81"/>
      <c r="I13" s="106" t="s">
        <v>882</v>
      </c>
      <c r="J13" s="107" t="str">
        <f t="shared" si="0"/>
        <v>Amber</v>
      </c>
      <c r="K13" s="81" t="s">
        <v>173</v>
      </c>
      <c r="L13" s="81" t="s">
        <v>1808</v>
      </c>
      <c r="M13" s="81" t="s">
        <v>1773</v>
      </c>
      <c r="N13" s="29" t="str">
        <f t="shared" si="1"/>
        <v>Monitor at next AIGF</v>
      </c>
    </row>
  </sheetData>
  <mergeCells count="3">
    <mergeCell ref="A1:M1"/>
    <mergeCell ref="A2:M2"/>
    <mergeCell ref="O4:P4"/>
  </mergeCells>
  <pageMargins left="0.7" right="0.7" top="0.75" bottom="0.75" header="0.3" footer="0.3"/>
  <pageSetup orientation="portrait"/>
  <headerFooter>
    <oddHeader>&amp;L&amp;C&amp;R</oddHeader>
    <oddFooter>&amp;L&amp;C&amp;R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9C0AC-D8A8-AB28-1028-06D61FB31DE5}">
  <dimension ref="A1:R17"/>
  <sheetViews>
    <sheetView workbookViewId="0">
      <pane ySplit="4" topLeftCell="A5" activePane="bottomLeft" state="frozen"/>
      <selection pane="bottomLeft" activeCell="Q4" sqref="Q4:R4"/>
    </sheetView>
  </sheetViews>
  <sheetFormatPr defaultColWidth="8.85546875" defaultRowHeight="15" customHeight="1"/>
  <cols>
    <col min="1" max="1" width="15.140625" bestFit="1" customWidth="1"/>
    <col min="2" max="2" width="47" bestFit="1" customWidth="1"/>
    <col min="3" max="3" width="45.42578125" bestFit="1" customWidth="1"/>
    <col min="4" max="4" width="22.42578125" bestFit="1" customWidth="1"/>
    <col min="5" max="5" width="23.5703125" bestFit="1" customWidth="1"/>
    <col min="6" max="6" width="20.140625" bestFit="1" customWidth="1"/>
    <col min="7" max="7" width="14.42578125" bestFit="1" customWidth="1"/>
    <col min="8" max="8" width="71.28515625" bestFit="1" customWidth="1"/>
    <col min="9" max="9" width="23.7109375" bestFit="1" customWidth="1"/>
    <col min="10" max="10" width="20.28515625" bestFit="1" customWidth="1"/>
    <col min="11" max="11" width="14.5703125" bestFit="1" customWidth="1"/>
    <col min="12" max="12" width="19.7109375" bestFit="1" customWidth="1"/>
    <col min="13" max="13" width="14.7109375" bestFit="1" customWidth="1"/>
    <col min="14" max="14" width="19.140625" bestFit="1" customWidth="1"/>
    <col min="15" max="15" width="14" bestFit="1" customWidth="1"/>
    <col min="17" max="17" width="23.42578125" bestFit="1" customWidth="1"/>
    <col min="18" max="18" width="6.85546875" bestFit="1" customWidth="1"/>
  </cols>
  <sheetData>
    <row r="1" spans="1:18" ht="18.75">
      <c r="A1" s="238" t="s">
        <v>1809</v>
      </c>
      <c r="B1" s="191"/>
      <c r="C1" s="191"/>
      <c r="D1" s="191"/>
      <c r="E1" s="191"/>
      <c r="F1" s="191"/>
      <c r="G1" s="191"/>
      <c r="H1" s="191"/>
      <c r="I1" s="191"/>
      <c r="J1" s="191"/>
      <c r="K1" s="191"/>
      <c r="L1" s="191"/>
      <c r="M1" s="191"/>
      <c r="N1" s="191"/>
      <c r="O1" s="191"/>
    </row>
    <row r="2" spans="1:18">
      <c r="A2" s="239" t="s">
        <v>1810</v>
      </c>
      <c r="B2" s="191"/>
      <c r="C2" s="191"/>
      <c r="D2" s="191"/>
      <c r="E2" s="191"/>
      <c r="F2" s="191"/>
      <c r="G2" s="191"/>
      <c r="H2" s="191"/>
      <c r="I2" s="191"/>
      <c r="J2" s="191"/>
      <c r="K2" s="191"/>
      <c r="L2" s="191"/>
      <c r="M2" s="191"/>
      <c r="N2" s="191"/>
      <c r="O2" s="191"/>
    </row>
    <row r="3" spans="1:18">
      <c r="A3" s="88" t="s">
        <v>184</v>
      </c>
      <c r="B3" s="11" t="s">
        <v>185</v>
      </c>
    </row>
    <row r="4" spans="1:18" ht="15.75">
      <c r="A4" s="82" t="s">
        <v>254</v>
      </c>
      <c r="B4" s="82" t="s">
        <v>255</v>
      </c>
      <c r="C4" s="82" t="s">
        <v>1811</v>
      </c>
      <c r="D4" s="82" t="s">
        <v>1812</v>
      </c>
      <c r="E4" s="82" t="s">
        <v>1813</v>
      </c>
      <c r="F4" s="82" t="s">
        <v>1814</v>
      </c>
      <c r="G4" s="82" t="s">
        <v>1815</v>
      </c>
      <c r="H4" s="82" t="s">
        <v>1816</v>
      </c>
      <c r="I4" s="82" t="s">
        <v>1817</v>
      </c>
      <c r="J4" s="82" t="s">
        <v>1818</v>
      </c>
      <c r="K4" s="82" t="s">
        <v>256</v>
      </c>
      <c r="L4" s="82" t="s">
        <v>1819</v>
      </c>
      <c r="M4" s="82" t="s">
        <v>1820</v>
      </c>
      <c r="N4" s="82" t="s">
        <v>1821</v>
      </c>
      <c r="O4" s="82" t="s">
        <v>17</v>
      </c>
      <c r="Q4" s="221" t="s">
        <v>1822</v>
      </c>
      <c r="R4" s="191"/>
    </row>
    <row r="5" spans="1:18">
      <c r="A5" s="41" t="s">
        <v>263</v>
      </c>
      <c r="B5" s="41" t="s">
        <v>264</v>
      </c>
      <c r="C5" s="41" t="s">
        <v>1823</v>
      </c>
      <c r="D5" s="41"/>
      <c r="E5" s="42">
        <v>4</v>
      </c>
      <c r="F5" s="42">
        <v>4</v>
      </c>
      <c r="G5" s="50">
        <f t="shared" ref="G5:K17" si="0">E5*F5</f>
        <v>16</v>
      </c>
      <c r="H5" s="41" t="s">
        <v>1824</v>
      </c>
      <c r="I5" s="42">
        <v>2</v>
      </c>
      <c r="J5" s="42">
        <v>4</v>
      </c>
      <c r="K5" s="49">
        <f t="shared" si="0"/>
        <v>8</v>
      </c>
      <c r="L5" s="108">
        <v>6.5</v>
      </c>
      <c r="M5" s="41" t="s">
        <v>261</v>
      </c>
      <c r="N5" s="41" t="s">
        <v>1825</v>
      </c>
      <c r="O5" s="41" t="s">
        <v>68</v>
      </c>
      <c r="Q5" s="109" t="s">
        <v>1826</v>
      </c>
      <c r="R5" s="110">
        <f>COUNTA(A5:A17)</f>
        <v>13</v>
      </c>
    </row>
    <row r="6" spans="1:18">
      <c r="A6" s="31" t="s">
        <v>1778</v>
      </c>
      <c r="B6" s="31" t="s">
        <v>1827</v>
      </c>
      <c r="C6" s="31" t="s">
        <v>1502</v>
      </c>
      <c r="D6" s="31" t="s">
        <v>370</v>
      </c>
      <c r="E6" s="32">
        <v>4</v>
      </c>
      <c r="F6" s="32">
        <v>4</v>
      </c>
      <c r="G6" s="50">
        <f t="shared" si="0"/>
        <v>16</v>
      </c>
      <c r="H6" s="31" t="s">
        <v>1828</v>
      </c>
      <c r="I6" s="32">
        <v>2</v>
      </c>
      <c r="J6" s="32">
        <v>4</v>
      </c>
      <c r="K6" s="49">
        <f t="shared" si="0"/>
        <v>8</v>
      </c>
      <c r="L6" s="111">
        <v>4.2</v>
      </c>
      <c r="M6" s="31" t="s">
        <v>261</v>
      </c>
      <c r="N6" s="31" t="s">
        <v>1829</v>
      </c>
      <c r="O6" s="31" t="s">
        <v>68</v>
      </c>
      <c r="Q6" s="109" t="s">
        <v>1830</v>
      </c>
      <c r="R6" s="110">
        <f>COUNTIF(G5:G17,"&gt;=15")</f>
        <v>9</v>
      </c>
    </row>
    <row r="7" spans="1:18">
      <c r="A7" s="41" t="s">
        <v>1794</v>
      </c>
      <c r="B7" s="41" t="s">
        <v>1831</v>
      </c>
      <c r="C7" s="41" t="s">
        <v>1508</v>
      </c>
      <c r="D7" s="41" t="s">
        <v>1832</v>
      </c>
      <c r="E7" s="42">
        <v>4</v>
      </c>
      <c r="F7" s="42">
        <v>3</v>
      </c>
      <c r="G7" s="112">
        <f t="shared" si="0"/>
        <v>12</v>
      </c>
      <c r="H7" s="41" t="s">
        <v>1833</v>
      </c>
      <c r="I7" s="42">
        <v>3</v>
      </c>
      <c r="J7" s="42">
        <v>3</v>
      </c>
      <c r="K7" s="49">
        <f t="shared" si="0"/>
        <v>9</v>
      </c>
      <c r="L7" s="108">
        <v>3</v>
      </c>
      <c r="M7" s="41" t="s">
        <v>261</v>
      </c>
      <c r="N7" s="41" t="s">
        <v>1834</v>
      </c>
      <c r="O7" s="41" t="s">
        <v>269</v>
      </c>
      <c r="Q7" s="109" t="s">
        <v>1835</v>
      </c>
      <c r="R7" s="110">
        <f>COUNTIF(K5:K17,"&gt;=15")</f>
        <v>0</v>
      </c>
    </row>
    <row r="8" spans="1:18">
      <c r="A8" s="31" t="s">
        <v>267</v>
      </c>
      <c r="B8" s="31" t="s">
        <v>1836</v>
      </c>
      <c r="C8" s="31" t="s">
        <v>1497</v>
      </c>
      <c r="D8" s="31"/>
      <c r="E8" s="32">
        <v>3</v>
      </c>
      <c r="F8" s="32">
        <v>5</v>
      </c>
      <c r="G8" s="50">
        <f t="shared" si="0"/>
        <v>15</v>
      </c>
      <c r="H8" s="31" t="s">
        <v>1837</v>
      </c>
      <c r="I8" s="32">
        <v>2</v>
      </c>
      <c r="J8" s="32">
        <v>4</v>
      </c>
      <c r="K8" s="49">
        <f t="shared" si="0"/>
        <v>8</v>
      </c>
      <c r="L8" s="111">
        <v>5.5</v>
      </c>
      <c r="M8" s="31" t="s">
        <v>261</v>
      </c>
      <c r="N8" s="31" t="s">
        <v>1838</v>
      </c>
      <c r="O8" s="31" t="s">
        <v>269</v>
      </c>
      <c r="Q8" s="109" t="s">
        <v>1839</v>
      </c>
      <c r="R8" s="108">
        <f>SUM(L5:L17)</f>
        <v>53.699999999999996</v>
      </c>
    </row>
    <row r="9" spans="1:18">
      <c r="A9" s="41" t="s">
        <v>270</v>
      </c>
      <c r="B9" s="41" t="s">
        <v>271</v>
      </c>
      <c r="C9" s="41" t="s">
        <v>1840</v>
      </c>
      <c r="D9" s="41" t="s">
        <v>364</v>
      </c>
      <c r="E9" s="42">
        <v>4</v>
      </c>
      <c r="F9" s="42">
        <v>4</v>
      </c>
      <c r="G9" s="50">
        <f t="shared" si="0"/>
        <v>16</v>
      </c>
      <c r="H9" s="41" t="s">
        <v>1841</v>
      </c>
      <c r="I9" s="42">
        <v>2</v>
      </c>
      <c r="J9" s="42">
        <v>4</v>
      </c>
      <c r="K9" s="49">
        <f t="shared" si="0"/>
        <v>8</v>
      </c>
      <c r="L9" s="108">
        <v>4.8</v>
      </c>
      <c r="M9" s="41" t="s">
        <v>261</v>
      </c>
      <c r="N9" s="41" t="s">
        <v>1842</v>
      </c>
      <c r="O9" s="41" t="s">
        <v>150</v>
      </c>
      <c r="Q9" s="109" t="s">
        <v>1843</v>
      </c>
      <c r="R9" s="110">
        <f>COUNTIF(M5:M17,"Mitigate")</f>
        <v>13</v>
      </c>
    </row>
    <row r="10" spans="1:18">
      <c r="A10" s="31" t="s">
        <v>1217</v>
      </c>
      <c r="B10" s="31" t="s">
        <v>1844</v>
      </c>
      <c r="C10" s="31" t="s">
        <v>1521</v>
      </c>
      <c r="D10" s="31" t="s">
        <v>1845</v>
      </c>
      <c r="E10" s="32">
        <v>3</v>
      </c>
      <c r="F10" s="32">
        <v>3</v>
      </c>
      <c r="G10" s="49">
        <f t="shared" si="0"/>
        <v>9</v>
      </c>
      <c r="H10" s="31" t="s">
        <v>1846</v>
      </c>
      <c r="I10" s="32">
        <v>2</v>
      </c>
      <c r="J10" s="32">
        <v>3</v>
      </c>
      <c r="K10" s="49">
        <f t="shared" si="0"/>
        <v>6</v>
      </c>
      <c r="L10" s="111">
        <v>1.8</v>
      </c>
      <c r="M10" s="31" t="s">
        <v>261</v>
      </c>
      <c r="N10" s="31" t="s">
        <v>1847</v>
      </c>
      <c r="O10" s="31" t="s">
        <v>68</v>
      </c>
      <c r="Q10" s="109" t="s">
        <v>1848</v>
      </c>
      <c r="R10" s="110">
        <f>COUNTIF(M5:M17,"Accept")</f>
        <v>0</v>
      </c>
    </row>
    <row r="11" spans="1:18">
      <c r="A11" s="41" t="s">
        <v>1849</v>
      </c>
      <c r="B11" s="41" t="s">
        <v>1850</v>
      </c>
      <c r="C11" s="41" t="s">
        <v>1851</v>
      </c>
      <c r="D11" s="41"/>
      <c r="E11" s="42">
        <v>3</v>
      </c>
      <c r="F11" s="42">
        <v>5</v>
      </c>
      <c r="G11" s="50">
        <f t="shared" si="0"/>
        <v>15</v>
      </c>
      <c r="H11" s="41" t="s">
        <v>1852</v>
      </c>
      <c r="I11" s="42">
        <v>2</v>
      </c>
      <c r="J11" s="42">
        <v>4</v>
      </c>
      <c r="K11" s="49">
        <f t="shared" si="0"/>
        <v>8</v>
      </c>
      <c r="L11" s="108">
        <v>4</v>
      </c>
      <c r="M11" s="41" t="s">
        <v>261</v>
      </c>
      <c r="N11" s="41" t="s">
        <v>1838</v>
      </c>
      <c r="O11" s="41" t="s">
        <v>150</v>
      </c>
      <c r="Q11" s="109" t="s">
        <v>1853</v>
      </c>
      <c r="R11" s="113">
        <f>AVERAGE(K5:K17)</f>
        <v>8.0769230769230766</v>
      </c>
    </row>
    <row r="12" spans="1:18">
      <c r="A12" s="31" t="s">
        <v>1170</v>
      </c>
      <c r="B12" s="31" t="s">
        <v>1854</v>
      </c>
      <c r="C12" s="31" t="s">
        <v>1855</v>
      </c>
      <c r="D12" s="31" t="s">
        <v>1856</v>
      </c>
      <c r="E12" s="32">
        <v>4</v>
      </c>
      <c r="F12" s="32">
        <v>4</v>
      </c>
      <c r="G12" s="50">
        <f t="shared" si="0"/>
        <v>16</v>
      </c>
      <c r="H12" s="31" t="s">
        <v>1857</v>
      </c>
      <c r="I12" s="32">
        <v>2</v>
      </c>
      <c r="J12" s="32">
        <v>4</v>
      </c>
      <c r="K12" s="49">
        <f t="shared" si="0"/>
        <v>8</v>
      </c>
      <c r="L12" s="111">
        <v>3.5</v>
      </c>
      <c r="M12" s="31" t="s">
        <v>261</v>
      </c>
      <c r="N12" s="31" t="s">
        <v>1858</v>
      </c>
      <c r="O12" s="31" t="s">
        <v>173</v>
      </c>
      <c r="Q12" s="109" t="s">
        <v>1859</v>
      </c>
      <c r="R12" s="114">
        <f>1-(SUM(K5:K17)/SUM(G5:G17))</f>
        <v>0.42934782608695654</v>
      </c>
    </row>
    <row r="13" spans="1:18">
      <c r="A13" s="41" t="s">
        <v>1860</v>
      </c>
      <c r="B13" s="41" t="s">
        <v>1861</v>
      </c>
      <c r="C13" s="41" t="s">
        <v>1521</v>
      </c>
      <c r="D13" s="41" t="s">
        <v>1845</v>
      </c>
      <c r="E13" s="42">
        <v>3</v>
      </c>
      <c r="F13" s="42">
        <v>4</v>
      </c>
      <c r="G13" s="112">
        <f t="shared" si="0"/>
        <v>12</v>
      </c>
      <c r="H13" s="41" t="s">
        <v>1862</v>
      </c>
      <c r="I13" s="42">
        <v>2</v>
      </c>
      <c r="J13" s="42">
        <v>4</v>
      </c>
      <c r="K13" s="49">
        <f t="shared" si="0"/>
        <v>8</v>
      </c>
      <c r="L13" s="108">
        <v>2.4</v>
      </c>
      <c r="M13" s="41" t="s">
        <v>261</v>
      </c>
      <c r="N13" s="41" t="s">
        <v>1847</v>
      </c>
      <c r="O13" s="41" t="s">
        <v>299</v>
      </c>
    </row>
    <row r="14" spans="1:18">
      <c r="A14" s="31" t="s">
        <v>265</v>
      </c>
      <c r="B14" s="31" t="s">
        <v>266</v>
      </c>
      <c r="C14" s="31" t="s">
        <v>1807</v>
      </c>
      <c r="D14" s="31" t="s">
        <v>1863</v>
      </c>
      <c r="E14" s="32">
        <v>3</v>
      </c>
      <c r="F14" s="32">
        <v>5</v>
      </c>
      <c r="G14" s="50">
        <f t="shared" si="0"/>
        <v>15</v>
      </c>
      <c r="H14" s="31" t="s">
        <v>1864</v>
      </c>
      <c r="I14" s="32">
        <v>2</v>
      </c>
      <c r="J14" s="32">
        <v>5</v>
      </c>
      <c r="K14" s="112">
        <f t="shared" si="0"/>
        <v>10</v>
      </c>
      <c r="L14" s="111">
        <v>6</v>
      </c>
      <c r="M14" s="31" t="s">
        <v>261</v>
      </c>
      <c r="N14" s="31" t="s">
        <v>1865</v>
      </c>
      <c r="O14" s="31" t="s">
        <v>173</v>
      </c>
    </row>
    <row r="15" spans="1:18">
      <c r="A15" s="41" t="s">
        <v>259</v>
      </c>
      <c r="B15" s="41" t="s">
        <v>260</v>
      </c>
      <c r="C15" s="41" t="s">
        <v>1866</v>
      </c>
      <c r="D15" s="41"/>
      <c r="E15" s="42">
        <v>3</v>
      </c>
      <c r="F15" s="42">
        <v>5</v>
      </c>
      <c r="G15" s="50">
        <f t="shared" si="0"/>
        <v>15</v>
      </c>
      <c r="H15" s="41" t="s">
        <v>1867</v>
      </c>
      <c r="I15" s="42">
        <v>2</v>
      </c>
      <c r="J15" s="42">
        <v>5</v>
      </c>
      <c r="K15" s="112">
        <f t="shared" si="0"/>
        <v>10</v>
      </c>
      <c r="L15" s="108">
        <v>7.5</v>
      </c>
      <c r="M15" s="41" t="s">
        <v>261</v>
      </c>
      <c r="N15" s="41" t="s">
        <v>1868</v>
      </c>
      <c r="O15" s="41" t="s">
        <v>262</v>
      </c>
    </row>
    <row r="16" spans="1:18">
      <c r="A16" s="31" t="s">
        <v>1789</v>
      </c>
      <c r="B16" s="31" t="s">
        <v>1869</v>
      </c>
      <c r="C16" s="31" t="s">
        <v>1870</v>
      </c>
      <c r="D16" s="31" t="s">
        <v>1203</v>
      </c>
      <c r="E16" s="32">
        <v>3</v>
      </c>
      <c r="F16" s="32">
        <v>5</v>
      </c>
      <c r="G16" s="50">
        <f t="shared" si="0"/>
        <v>15</v>
      </c>
      <c r="H16" s="31" t="s">
        <v>1871</v>
      </c>
      <c r="I16" s="32">
        <v>2</v>
      </c>
      <c r="J16" s="32">
        <v>4</v>
      </c>
      <c r="K16" s="49">
        <f t="shared" si="0"/>
        <v>8</v>
      </c>
      <c r="L16" s="111">
        <v>3</v>
      </c>
      <c r="M16" s="31" t="s">
        <v>261</v>
      </c>
      <c r="N16" s="31" t="s">
        <v>1872</v>
      </c>
      <c r="O16" s="31" t="s">
        <v>150</v>
      </c>
    </row>
    <row r="17" spans="1:15">
      <c r="A17" s="41" t="s">
        <v>1327</v>
      </c>
      <c r="B17" s="41" t="s">
        <v>1873</v>
      </c>
      <c r="C17" s="41" t="s">
        <v>1874</v>
      </c>
      <c r="D17" s="41"/>
      <c r="E17" s="42">
        <v>3</v>
      </c>
      <c r="F17" s="42">
        <v>4</v>
      </c>
      <c r="G17" s="112">
        <f t="shared" si="0"/>
        <v>12</v>
      </c>
      <c r="H17" s="41" t="s">
        <v>1875</v>
      </c>
      <c r="I17" s="42">
        <v>2</v>
      </c>
      <c r="J17" s="42">
        <v>3</v>
      </c>
      <c r="K17" s="49">
        <f t="shared" si="0"/>
        <v>6</v>
      </c>
      <c r="L17" s="108">
        <v>1.5</v>
      </c>
      <c r="M17" s="41" t="s">
        <v>261</v>
      </c>
      <c r="N17" s="41" t="s">
        <v>1876</v>
      </c>
      <c r="O17" s="41" t="s">
        <v>24</v>
      </c>
    </row>
  </sheetData>
  <mergeCells count="3">
    <mergeCell ref="A1:O1"/>
    <mergeCell ref="A2:O2"/>
    <mergeCell ref="Q4:R4"/>
  </mergeCells>
  <pageMargins left="0.7" right="0.7" top="0.75" bottom="0.75" header="0.3" footer="0.3"/>
  <pageSetup orientation="portrait"/>
  <headerFooter>
    <oddHeader>&amp;L&amp;C&amp;R</oddHeader>
    <oddFooter>&amp;L&amp;C&amp;R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26EB5-9018-BB98-F678-D73FE8104A18}">
  <dimension ref="A1:R20"/>
  <sheetViews>
    <sheetView topLeftCell="Q1" workbookViewId="0">
      <pane ySplit="4" topLeftCell="A9" activePane="bottomLeft" state="frozen"/>
      <selection pane="bottomLeft" activeCell="P4" sqref="P4"/>
    </sheetView>
  </sheetViews>
  <sheetFormatPr defaultColWidth="8.85546875" defaultRowHeight="15" customHeight="1"/>
  <cols>
    <col min="1" max="1" width="15.140625" bestFit="1" customWidth="1"/>
    <col min="2" max="2" width="31.5703125" bestFit="1" customWidth="1"/>
    <col min="3" max="3" width="39.7109375" bestFit="1" customWidth="1"/>
    <col min="4" max="4" width="45.42578125" bestFit="1" customWidth="1"/>
    <col min="5" max="5" width="14.140625" bestFit="1" customWidth="1"/>
    <col min="6" max="6" width="26.5703125" bestFit="1" customWidth="1"/>
    <col min="7" max="7" width="20.140625" bestFit="1" customWidth="1"/>
    <col min="8" max="8" width="22" bestFit="1" customWidth="1"/>
    <col min="9" max="9" width="20.85546875" bestFit="1" customWidth="1"/>
    <col min="10" max="10" width="22.140625" bestFit="1" customWidth="1"/>
    <col min="11" max="11" width="13.28515625" bestFit="1" customWidth="1"/>
    <col min="12" max="12" width="62.42578125" bestFit="1" customWidth="1"/>
    <col min="13" max="13" width="45.5703125" bestFit="1" customWidth="1"/>
    <col min="14" max="14" width="16.42578125" bestFit="1" customWidth="1"/>
    <col min="15" max="15" width="14" bestFit="1" customWidth="1"/>
    <col min="16" max="16" width="16" bestFit="1" customWidth="1"/>
    <col min="17" max="17" width="22.28515625" bestFit="1" customWidth="1"/>
    <col min="18" max="18" width="3" bestFit="1" customWidth="1"/>
  </cols>
  <sheetData>
    <row r="1" spans="1:18" ht="18.75">
      <c r="A1" s="238" t="s">
        <v>1877</v>
      </c>
      <c r="B1" s="191"/>
      <c r="C1" s="191"/>
      <c r="D1" s="191"/>
      <c r="E1" s="191"/>
      <c r="F1" s="191"/>
      <c r="G1" s="191"/>
      <c r="H1" s="191"/>
      <c r="I1" s="191"/>
      <c r="J1" s="191"/>
      <c r="K1" s="191"/>
      <c r="L1" s="191"/>
      <c r="M1" s="191"/>
      <c r="N1" s="191"/>
      <c r="O1" s="191"/>
    </row>
    <row r="2" spans="1:18">
      <c r="A2" s="239" t="s">
        <v>1878</v>
      </c>
      <c r="B2" s="191"/>
      <c r="C2" s="191"/>
      <c r="D2" s="191"/>
      <c r="E2" s="191"/>
      <c r="F2" s="191"/>
      <c r="G2" s="191"/>
      <c r="H2" s="191"/>
      <c r="I2" s="191"/>
      <c r="J2" s="191"/>
      <c r="K2" s="191"/>
      <c r="L2" s="191"/>
      <c r="M2" s="191"/>
      <c r="N2" s="191"/>
      <c r="O2" s="191"/>
    </row>
    <row r="3" spans="1:18">
      <c r="A3" s="88" t="s">
        <v>184</v>
      </c>
      <c r="B3" s="11" t="s">
        <v>185</v>
      </c>
    </row>
    <row r="4" spans="1:18">
      <c r="A4" s="82" t="s">
        <v>360</v>
      </c>
      <c r="B4" s="82" t="s">
        <v>1879</v>
      </c>
      <c r="C4" s="82" t="s">
        <v>1880</v>
      </c>
      <c r="D4" s="82" t="s">
        <v>825</v>
      </c>
      <c r="E4" s="82" t="s">
        <v>1881</v>
      </c>
      <c r="F4" s="82" t="s">
        <v>1882</v>
      </c>
      <c r="G4" s="82" t="s">
        <v>1883</v>
      </c>
      <c r="H4" s="82" t="s">
        <v>1884</v>
      </c>
      <c r="I4" s="82" t="s">
        <v>1885</v>
      </c>
      <c r="J4" s="82" t="s">
        <v>1886</v>
      </c>
      <c r="K4" s="82" t="s">
        <v>1887</v>
      </c>
      <c r="L4" s="82" t="s">
        <v>1888</v>
      </c>
      <c r="M4" s="82" t="s">
        <v>363</v>
      </c>
      <c r="N4" s="82" t="s">
        <v>1889</v>
      </c>
      <c r="O4" s="82" t="s">
        <v>17</v>
      </c>
      <c r="P4" s="82" t="s">
        <v>1890</v>
      </c>
      <c r="Q4" s="82" t="s">
        <v>1891</v>
      </c>
      <c r="R4" s="82"/>
    </row>
    <row r="5" spans="1:18">
      <c r="A5" s="36" t="s">
        <v>364</v>
      </c>
      <c r="B5" s="36" t="s">
        <v>1892</v>
      </c>
      <c r="C5" s="36" t="s">
        <v>1893</v>
      </c>
      <c r="D5" s="36" t="s">
        <v>1894</v>
      </c>
      <c r="E5" s="36" t="s">
        <v>1106</v>
      </c>
      <c r="F5" s="36" t="s">
        <v>1052</v>
      </c>
      <c r="G5" s="36" t="s">
        <v>1055</v>
      </c>
      <c r="H5" s="36" t="s">
        <v>1055</v>
      </c>
      <c r="I5" s="36" t="s">
        <v>1055</v>
      </c>
      <c r="J5" s="37" t="s">
        <v>1895</v>
      </c>
      <c r="K5" s="115" t="s">
        <v>76</v>
      </c>
      <c r="L5" s="36" t="s">
        <v>1896</v>
      </c>
      <c r="M5" s="36" t="s">
        <v>366</v>
      </c>
      <c r="N5" s="36" t="s">
        <v>1897</v>
      </c>
      <c r="O5" s="36" t="s">
        <v>24</v>
      </c>
      <c r="P5" s="116"/>
      <c r="Q5" s="117" t="s">
        <v>1898</v>
      </c>
      <c r="R5" s="42">
        <f>COUNTA(A5:A20)</f>
        <v>16</v>
      </c>
    </row>
    <row r="6" spans="1:18">
      <c r="A6" s="39" t="s">
        <v>1090</v>
      </c>
      <c r="B6" s="39" t="s">
        <v>1899</v>
      </c>
      <c r="C6" s="39" t="s">
        <v>1900</v>
      </c>
      <c r="D6" s="39" t="s">
        <v>1083</v>
      </c>
      <c r="E6" s="39" t="s">
        <v>1106</v>
      </c>
      <c r="F6" s="39" t="s">
        <v>1092</v>
      </c>
      <c r="G6" s="39" t="s">
        <v>1055</v>
      </c>
      <c r="H6" s="39" t="s">
        <v>1055</v>
      </c>
      <c r="I6" s="39" t="s">
        <v>1055</v>
      </c>
      <c r="J6" s="40" t="s">
        <v>126</v>
      </c>
      <c r="K6" s="118" t="s">
        <v>75</v>
      </c>
      <c r="L6" s="39" t="s">
        <v>1901</v>
      </c>
      <c r="M6" s="39" t="s">
        <v>1902</v>
      </c>
      <c r="N6" s="39" t="s">
        <v>1524</v>
      </c>
      <c r="O6" s="39" t="s">
        <v>24</v>
      </c>
      <c r="P6" s="119"/>
      <c r="Q6" s="117" t="s">
        <v>1903</v>
      </c>
      <c r="R6" s="42">
        <f>COUNTIF(N5:N20,"High*")</f>
        <v>8</v>
      </c>
    </row>
    <row r="7" spans="1:18">
      <c r="A7" s="36" t="s">
        <v>367</v>
      </c>
      <c r="B7" s="36" t="s">
        <v>1904</v>
      </c>
      <c r="C7" s="36" t="s">
        <v>1905</v>
      </c>
      <c r="D7" s="36" t="s">
        <v>1119</v>
      </c>
      <c r="E7" s="36" t="s">
        <v>1089</v>
      </c>
      <c r="F7" s="36" t="s">
        <v>1052</v>
      </c>
      <c r="G7" s="36" t="s">
        <v>1055</v>
      </c>
      <c r="H7" s="36" t="s">
        <v>1055</v>
      </c>
      <c r="I7" s="36" t="s">
        <v>1108</v>
      </c>
      <c r="J7" s="37" t="s">
        <v>1906</v>
      </c>
      <c r="K7" s="115" t="s">
        <v>76</v>
      </c>
      <c r="L7" s="36" t="s">
        <v>1907</v>
      </c>
      <c r="M7" s="36" t="s">
        <v>1908</v>
      </c>
      <c r="N7" s="36" t="s">
        <v>1524</v>
      </c>
      <c r="O7" s="36" t="s">
        <v>24</v>
      </c>
      <c r="P7" s="116"/>
      <c r="Q7" s="117" t="s">
        <v>1909</v>
      </c>
      <c r="R7" s="42">
        <f>COUNTIF(K5:K20,"Amber")</f>
        <v>6</v>
      </c>
    </row>
    <row r="8" spans="1:18">
      <c r="A8" s="39" t="s">
        <v>1203</v>
      </c>
      <c r="B8" s="39" t="s">
        <v>1910</v>
      </c>
      <c r="C8" s="39" t="s">
        <v>1911</v>
      </c>
      <c r="D8" s="39" t="s">
        <v>351</v>
      </c>
      <c r="E8" s="39" t="s">
        <v>1106</v>
      </c>
      <c r="F8" s="39" t="s">
        <v>1092</v>
      </c>
      <c r="G8" s="39" t="s">
        <v>1055</v>
      </c>
      <c r="H8" s="39" t="s">
        <v>1055</v>
      </c>
      <c r="I8" s="39" t="s">
        <v>1055</v>
      </c>
      <c r="J8" s="40" t="s">
        <v>1912</v>
      </c>
      <c r="K8" s="118" t="s">
        <v>75</v>
      </c>
      <c r="L8" s="39" t="s">
        <v>1913</v>
      </c>
      <c r="M8" s="39" t="s">
        <v>1914</v>
      </c>
      <c r="N8" s="39" t="s">
        <v>1524</v>
      </c>
      <c r="O8" s="39" t="s">
        <v>24</v>
      </c>
      <c r="P8" s="119"/>
      <c r="Q8" s="117" t="s">
        <v>1915</v>
      </c>
      <c r="R8" s="42">
        <f>COUNTIF(K5:K20,"Green")</f>
        <v>10</v>
      </c>
    </row>
    <row r="9" spans="1:18">
      <c r="A9" s="36" t="s">
        <v>1239</v>
      </c>
      <c r="B9" s="36" t="s">
        <v>1916</v>
      </c>
      <c r="C9" s="36" t="s">
        <v>1917</v>
      </c>
      <c r="D9" s="36" t="s">
        <v>1234</v>
      </c>
      <c r="E9" s="36" t="s">
        <v>1106</v>
      </c>
      <c r="F9" s="36" t="s">
        <v>1092</v>
      </c>
      <c r="G9" s="36" t="s">
        <v>1055</v>
      </c>
      <c r="H9" s="36" t="s">
        <v>1055</v>
      </c>
      <c r="I9" s="36" t="s">
        <v>1055</v>
      </c>
      <c r="J9" s="37" t="s">
        <v>1918</v>
      </c>
      <c r="K9" s="118" t="s">
        <v>75</v>
      </c>
      <c r="L9" s="36" t="s">
        <v>1919</v>
      </c>
      <c r="M9" s="36" t="s">
        <v>1920</v>
      </c>
      <c r="N9" s="36" t="s">
        <v>1921</v>
      </c>
      <c r="O9" s="36" t="s">
        <v>24</v>
      </c>
      <c r="P9" s="116"/>
      <c r="Q9" s="117" t="s">
        <v>1922</v>
      </c>
      <c r="R9" s="42">
        <f>COUNTIF(K5:K20,"Red")</f>
        <v>0</v>
      </c>
    </row>
    <row r="10" spans="1:18">
      <c r="A10" s="39" t="s">
        <v>1272</v>
      </c>
      <c r="B10" s="39" t="s">
        <v>1923</v>
      </c>
      <c r="C10" s="39" t="s">
        <v>1924</v>
      </c>
      <c r="D10" s="39" t="s">
        <v>1268</v>
      </c>
      <c r="E10" s="39" t="s">
        <v>1106</v>
      </c>
      <c r="F10" s="39" t="s">
        <v>1092</v>
      </c>
      <c r="G10" s="39" t="s">
        <v>1055</v>
      </c>
      <c r="H10" s="39" t="s">
        <v>1055</v>
      </c>
      <c r="I10" s="39" t="s">
        <v>1055</v>
      </c>
      <c r="J10" s="40" t="s">
        <v>1895</v>
      </c>
      <c r="K10" s="118" t="s">
        <v>75</v>
      </c>
      <c r="L10" s="39" t="s">
        <v>1925</v>
      </c>
      <c r="M10" s="39" t="s">
        <v>1926</v>
      </c>
      <c r="N10" s="39" t="s">
        <v>1493</v>
      </c>
      <c r="O10" s="39" t="s">
        <v>173</v>
      </c>
      <c r="P10" s="119"/>
      <c r="Q10" s="117" t="s">
        <v>1927</v>
      </c>
      <c r="R10" s="42">
        <f>COUNTIF(G5:G20,"In Progress")+COUNTIF(H5:H20,"In Progress")+COUNTIF(I5:I20,"In Progress")</f>
        <v>4</v>
      </c>
    </row>
    <row r="11" spans="1:18">
      <c r="A11" s="36" t="s">
        <v>370</v>
      </c>
      <c r="B11" s="36" t="s">
        <v>1928</v>
      </c>
      <c r="C11" s="36" t="s">
        <v>1929</v>
      </c>
      <c r="D11" s="36" t="s">
        <v>1289</v>
      </c>
      <c r="E11" s="36" t="s">
        <v>1106</v>
      </c>
      <c r="F11" s="36" t="s">
        <v>1052</v>
      </c>
      <c r="G11" s="36" t="s">
        <v>1055</v>
      </c>
      <c r="H11" s="36" t="s">
        <v>1108</v>
      </c>
      <c r="I11" s="36" t="s">
        <v>1055</v>
      </c>
      <c r="J11" s="37" t="s">
        <v>1930</v>
      </c>
      <c r="K11" s="115" t="s">
        <v>76</v>
      </c>
      <c r="L11" s="36" t="s">
        <v>1931</v>
      </c>
      <c r="M11" s="36" t="s">
        <v>1932</v>
      </c>
      <c r="N11" s="36" t="s">
        <v>1524</v>
      </c>
      <c r="O11" s="36" t="s">
        <v>24</v>
      </c>
      <c r="P11" s="116"/>
    </row>
    <row r="12" spans="1:18">
      <c r="A12" s="39" t="s">
        <v>1933</v>
      </c>
      <c r="B12" s="39" t="s">
        <v>1934</v>
      </c>
      <c r="C12" s="39" t="s">
        <v>1935</v>
      </c>
      <c r="D12" s="39" t="s">
        <v>549</v>
      </c>
      <c r="E12" s="39" t="s">
        <v>1106</v>
      </c>
      <c r="F12" s="39" t="s">
        <v>1052</v>
      </c>
      <c r="G12" s="39" t="s">
        <v>1055</v>
      </c>
      <c r="H12" s="39" t="s">
        <v>1055</v>
      </c>
      <c r="I12" s="39" t="s">
        <v>1055</v>
      </c>
      <c r="J12" s="40" t="s">
        <v>132</v>
      </c>
      <c r="K12" s="118" t="s">
        <v>75</v>
      </c>
      <c r="L12" s="39" t="s">
        <v>1936</v>
      </c>
      <c r="M12" s="39" t="s">
        <v>1937</v>
      </c>
      <c r="N12" s="39" t="s">
        <v>1493</v>
      </c>
      <c r="O12" s="39" t="s">
        <v>173</v>
      </c>
      <c r="P12" s="119"/>
    </row>
    <row r="13" spans="1:18">
      <c r="A13" s="36" t="s">
        <v>1938</v>
      </c>
      <c r="B13" s="36" t="s">
        <v>1939</v>
      </c>
      <c r="C13" s="36" t="s">
        <v>1940</v>
      </c>
      <c r="D13" s="36" t="s">
        <v>1941</v>
      </c>
      <c r="E13" s="36" t="s">
        <v>1942</v>
      </c>
      <c r="F13" s="36" t="s">
        <v>1052</v>
      </c>
      <c r="G13" s="36" t="s">
        <v>1055</v>
      </c>
      <c r="H13" s="36" t="s">
        <v>1055</v>
      </c>
      <c r="I13" s="36" t="s">
        <v>1055</v>
      </c>
      <c r="J13" s="37" t="s">
        <v>1943</v>
      </c>
      <c r="K13" s="118" t="s">
        <v>75</v>
      </c>
      <c r="L13" s="36" t="s">
        <v>1944</v>
      </c>
      <c r="M13" s="36" t="s">
        <v>1945</v>
      </c>
      <c r="N13" s="36" t="s">
        <v>1493</v>
      </c>
      <c r="O13" s="36" t="s">
        <v>173</v>
      </c>
      <c r="P13" s="116"/>
    </row>
    <row r="14" spans="1:18">
      <c r="A14" s="39" t="s">
        <v>1946</v>
      </c>
      <c r="B14" s="39" t="s">
        <v>1947</v>
      </c>
      <c r="C14" s="39" t="s">
        <v>1948</v>
      </c>
      <c r="D14" s="39" t="s">
        <v>549</v>
      </c>
      <c r="E14" s="39" t="s">
        <v>1106</v>
      </c>
      <c r="F14" s="39" t="s">
        <v>1071</v>
      </c>
      <c r="G14" s="39" t="s">
        <v>1055</v>
      </c>
      <c r="H14" s="39" t="s">
        <v>1055</v>
      </c>
      <c r="I14" s="39" t="s">
        <v>1055</v>
      </c>
      <c r="J14" s="40" t="s">
        <v>146</v>
      </c>
      <c r="K14" s="118" t="s">
        <v>75</v>
      </c>
      <c r="L14" s="39" t="s">
        <v>1949</v>
      </c>
      <c r="M14" s="39" t="s">
        <v>1774</v>
      </c>
      <c r="N14" s="39" t="s">
        <v>1524</v>
      </c>
      <c r="O14" s="39" t="s">
        <v>262</v>
      </c>
      <c r="P14" s="119"/>
    </row>
    <row r="15" spans="1:18">
      <c r="A15" s="36" t="s">
        <v>1950</v>
      </c>
      <c r="B15" s="36" t="s">
        <v>1519</v>
      </c>
      <c r="C15" s="36" t="s">
        <v>1951</v>
      </c>
      <c r="D15" s="36" t="s">
        <v>549</v>
      </c>
      <c r="E15" s="36" t="s">
        <v>1106</v>
      </c>
      <c r="F15" s="36" t="s">
        <v>1071</v>
      </c>
      <c r="G15" s="36" t="s">
        <v>1055</v>
      </c>
      <c r="H15" s="36" t="s">
        <v>1055</v>
      </c>
      <c r="I15" s="36" t="s">
        <v>1055</v>
      </c>
      <c r="J15" s="37" t="s">
        <v>126</v>
      </c>
      <c r="K15" s="118" t="s">
        <v>75</v>
      </c>
      <c r="L15" s="36" t="s">
        <v>1952</v>
      </c>
      <c r="M15" s="36" t="s">
        <v>1953</v>
      </c>
      <c r="N15" s="36" t="s">
        <v>1493</v>
      </c>
      <c r="O15" s="36" t="s">
        <v>173</v>
      </c>
      <c r="P15" s="116"/>
    </row>
    <row r="16" spans="1:18">
      <c r="A16" s="39" t="s">
        <v>1954</v>
      </c>
      <c r="B16" s="39" t="s">
        <v>1955</v>
      </c>
      <c r="C16" s="39" t="s">
        <v>1956</v>
      </c>
      <c r="D16" s="39" t="s">
        <v>1175</v>
      </c>
      <c r="E16" s="39" t="s">
        <v>1106</v>
      </c>
      <c r="F16" s="39" t="s">
        <v>1071</v>
      </c>
      <c r="G16" s="39" t="s">
        <v>1108</v>
      </c>
      <c r="H16" s="39" t="s">
        <v>1108</v>
      </c>
      <c r="I16" s="39" t="s">
        <v>1957</v>
      </c>
      <c r="J16" s="40" t="s">
        <v>1958</v>
      </c>
      <c r="K16" s="115" t="s">
        <v>76</v>
      </c>
      <c r="L16" s="39" t="s">
        <v>1959</v>
      </c>
      <c r="M16" s="39" t="s">
        <v>1960</v>
      </c>
      <c r="N16" s="39" t="s">
        <v>1731</v>
      </c>
      <c r="O16" s="39" t="s">
        <v>68</v>
      </c>
      <c r="P16" s="119"/>
    </row>
    <row r="17" spans="1:16">
      <c r="A17" s="36" t="s">
        <v>373</v>
      </c>
      <c r="B17" s="36" t="s">
        <v>1961</v>
      </c>
      <c r="C17" s="36" t="s">
        <v>1962</v>
      </c>
      <c r="D17" s="36" t="s">
        <v>1175</v>
      </c>
      <c r="E17" s="36" t="s">
        <v>1963</v>
      </c>
      <c r="F17" s="36" t="s">
        <v>1052</v>
      </c>
      <c r="G17" s="36" t="s">
        <v>1055</v>
      </c>
      <c r="H17" s="36" t="s">
        <v>1055</v>
      </c>
      <c r="I17" s="36" t="s">
        <v>1055</v>
      </c>
      <c r="J17" s="37" t="s">
        <v>126</v>
      </c>
      <c r="K17" s="115" t="s">
        <v>76</v>
      </c>
      <c r="L17" s="36" t="s">
        <v>1964</v>
      </c>
      <c r="M17" s="36" t="s">
        <v>1965</v>
      </c>
      <c r="N17" s="36" t="s">
        <v>1524</v>
      </c>
      <c r="O17" s="36" t="s">
        <v>24</v>
      </c>
      <c r="P17" s="116"/>
    </row>
    <row r="18" spans="1:16">
      <c r="A18" s="39" t="s">
        <v>1966</v>
      </c>
      <c r="B18" s="39" t="s">
        <v>1967</v>
      </c>
      <c r="C18" s="39" t="s">
        <v>1968</v>
      </c>
      <c r="D18" s="39" t="s">
        <v>1513</v>
      </c>
      <c r="E18" s="39" t="s">
        <v>1106</v>
      </c>
      <c r="F18" s="39" t="s">
        <v>1052</v>
      </c>
      <c r="G18" s="39" t="s">
        <v>1055</v>
      </c>
      <c r="H18" s="39" t="s">
        <v>1055</v>
      </c>
      <c r="I18" s="39" t="s">
        <v>1055</v>
      </c>
      <c r="J18" s="40" t="s">
        <v>1969</v>
      </c>
      <c r="K18" s="118" t="s">
        <v>75</v>
      </c>
      <c r="L18" s="39" t="s">
        <v>1970</v>
      </c>
      <c r="M18" s="39" t="s">
        <v>1971</v>
      </c>
      <c r="N18" s="39" t="s">
        <v>1493</v>
      </c>
      <c r="O18" s="39" t="s">
        <v>150</v>
      </c>
      <c r="P18" s="119"/>
    </row>
    <row r="19" spans="1:16">
      <c r="A19" s="36" t="s">
        <v>376</v>
      </c>
      <c r="B19" s="36" t="s">
        <v>1972</v>
      </c>
      <c r="C19" s="36" t="s">
        <v>1973</v>
      </c>
      <c r="D19" s="36" t="s">
        <v>1974</v>
      </c>
      <c r="E19" s="36" t="s">
        <v>1106</v>
      </c>
      <c r="F19" s="36" t="s">
        <v>1092</v>
      </c>
      <c r="G19" s="36" t="s">
        <v>1055</v>
      </c>
      <c r="H19" s="36" t="s">
        <v>1055</v>
      </c>
      <c r="I19" s="36" t="s">
        <v>1055</v>
      </c>
      <c r="J19" s="37" t="s">
        <v>1943</v>
      </c>
      <c r="K19" s="115" t="s">
        <v>76</v>
      </c>
      <c r="L19" s="36" t="s">
        <v>1975</v>
      </c>
      <c r="M19" s="36" t="s">
        <v>1976</v>
      </c>
      <c r="N19" s="36" t="s">
        <v>1977</v>
      </c>
      <c r="O19" s="36" t="s">
        <v>173</v>
      </c>
      <c r="P19" s="116"/>
    </row>
    <row r="20" spans="1:16">
      <c r="A20" s="39" t="s">
        <v>1978</v>
      </c>
      <c r="B20" s="39" t="s">
        <v>1979</v>
      </c>
      <c r="C20" s="39" t="s">
        <v>1980</v>
      </c>
      <c r="D20" s="39" t="s">
        <v>549</v>
      </c>
      <c r="E20" s="39" t="s">
        <v>1963</v>
      </c>
      <c r="F20" s="39" t="s">
        <v>1071</v>
      </c>
      <c r="G20" s="39" t="s">
        <v>1055</v>
      </c>
      <c r="H20" s="39" t="s">
        <v>1957</v>
      </c>
      <c r="I20" s="39" t="s">
        <v>1957</v>
      </c>
      <c r="J20" s="40" t="s">
        <v>132</v>
      </c>
      <c r="K20" s="118" t="s">
        <v>75</v>
      </c>
      <c r="L20" s="39" t="s">
        <v>1981</v>
      </c>
      <c r="M20" s="39" t="s">
        <v>1982</v>
      </c>
      <c r="N20" s="39" t="s">
        <v>1731</v>
      </c>
      <c r="O20" s="39" t="s">
        <v>24</v>
      </c>
      <c r="P20" s="119"/>
    </row>
  </sheetData>
  <mergeCells count="2">
    <mergeCell ref="A1:O1"/>
    <mergeCell ref="A2:O2"/>
  </mergeCells>
  <pageMargins left="0.7" right="0.7" top="0.75" bottom="0.75" header="0.3" footer="0.3"/>
  <pageSetup orientation="portrait"/>
  <headerFooter>
    <oddHeader>&amp;L&amp;C&amp;R</oddHeader>
    <oddFooter>&amp;L&amp;C&amp;R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0B08-EB5F-D2C8-BCF8-E7B34B7B5078}">
  <dimension ref="A1:Q12"/>
  <sheetViews>
    <sheetView workbookViewId="0">
      <pane ySplit="4" topLeftCell="A5" activePane="bottomLeft" state="frozen"/>
      <selection pane="bottomLeft" sqref="A1:N1"/>
    </sheetView>
  </sheetViews>
  <sheetFormatPr defaultColWidth="8.85546875" defaultRowHeight="15" customHeight="1"/>
  <cols>
    <col min="1" max="1" width="16" bestFit="1" customWidth="1"/>
    <col min="2" max="2" width="13.85546875" bestFit="1" customWidth="1"/>
    <col min="3" max="3" width="15.5703125" bestFit="1" customWidth="1"/>
    <col min="4" max="4" width="8.28515625" bestFit="1" customWidth="1"/>
    <col min="5" max="5" width="40.7109375" bestFit="1" customWidth="1"/>
    <col min="6" max="6" width="94.28515625" bestFit="1" customWidth="1"/>
    <col min="7" max="7" width="63.5703125" bestFit="1" customWidth="1"/>
    <col min="8" max="8" width="74" bestFit="1" customWidth="1"/>
    <col min="9" max="9" width="56" bestFit="1" customWidth="1"/>
    <col min="10" max="10" width="81" bestFit="1" customWidth="1"/>
    <col min="11" max="11" width="16.7109375" bestFit="1" customWidth="1"/>
    <col min="12" max="12" width="59.42578125" bestFit="1" customWidth="1"/>
    <col min="13" max="13" width="13.7109375" bestFit="1" customWidth="1"/>
    <col min="14" max="14" width="13.5703125" bestFit="1" customWidth="1"/>
    <col min="16" max="16" width="12.7109375" bestFit="1" customWidth="1"/>
    <col min="17" max="17" width="2" bestFit="1" customWidth="1"/>
  </cols>
  <sheetData>
    <row r="1" spans="1:17" ht="18.75">
      <c r="A1" s="198" t="s">
        <v>1983</v>
      </c>
      <c r="B1" s="191"/>
      <c r="C1" s="191"/>
      <c r="D1" s="191"/>
      <c r="E1" s="191"/>
      <c r="F1" s="191"/>
      <c r="G1" s="191"/>
      <c r="H1" s="191"/>
      <c r="I1" s="191"/>
      <c r="J1" s="191"/>
      <c r="K1" s="191"/>
      <c r="L1" s="191"/>
      <c r="M1" s="191"/>
      <c r="N1" s="191"/>
    </row>
    <row r="2" spans="1:17">
      <c r="A2" s="243" t="s">
        <v>1984</v>
      </c>
      <c r="B2" s="191"/>
      <c r="C2" s="191"/>
      <c r="D2" s="191"/>
      <c r="E2" s="191"/>
      <c r="F2" s="191"/>
      <c r="G2" s="191"/>
      <c r="H2" s="191"/>
      <c r="I2" s="191"/>
      <c r="J2" s="191"/>
      <c r="K2" s="191"/>
      <c r="L2" s="191"/>
      <c r="M2" s="191"/>
      <c r="N2" s="191"/>
    </row>
    <row r="3" spans="1:17">
      <c r="A3" s="10" t="s">
        <v>184</v>
      </c>
      <c r="B3" s="11" t="s">
        <v>185</v>
      </c>
    </row>
    <row r="4" spans="1:17">
      <c r="A4" s="81" t="s">
        <v>1985</v>
      </c>
      <c r="B4" s="81" t="s">
        <v>566</v>
      </c>
      <c r="C4" s="81" t="s">
        <v>523</v>
      </c>
      <c r="D4" s="81" t="s">
        <v>1986</v>
      </c>
      <c r="E4" s="81" t="s">
        <v>1987</v>
      </c>
      <c r="F4" s="81" t="s">
        <v>1988</v>
      </c>
      <c r="G4" s="81" t="s">
        <v>1989</v>
      </c>
      <c r="H4" s="81" t="s">
        <v>1990</v>
      </c>
      <c r="I4" s="81" t="s">
        <v>1991</v>
      </c>
      <c r="J4" s="81" t="s">
        <v>1992</v>
      </c>
      <c r="K4" s="81" t="s">
        <v>17</v>
      </c>
      <c r="L4" s="81" t="s">
        <v>1993</v>
      </c>
      <c r="M4" s="81" t="s">
        <v>1994</v>
      </c>
      <c r="N4" s="81" t="s">
        <v>1995</v>
      </c>
      <c r="P4" s="244" t="s">
        <v>1996</v>
      </c>
      <c r="Q4" s="191"/>
    </row>
    <row r="5" spans="1:17">
      <c r="A5" s="81" t="s">
        <v>1184</v>
      </c>
      <c r="B5" s="81">
        <v>46055</v>
      </c>
      <c r="C5" s="81" t="s">
        <v>1997</v>
      </c>
      <c r="D5" s="120" t="s">
        <v>1998</v>
      </c>
      <c r="E5" s="81" t="s">
        <v>1999</v>
      </c>
      <c r="F5" s="81" t="s">
        <v>2000</v>
      </c>
      <c r="G5" s="81" t="s">
        <v>2001</v>
      </c>
      <c r="H5" s="81" t="s">
        <v>2002</v>
      </c>
      <c r="I5" s="81" t="s">
        <v>2003</v>
      </c>
      <c r="J5" s="81" t="s">
        <v>2004</v>
      </c>
      <c r="K5" s="81" t="s">
        <v>68</v>
      </c>
      <c r="L5" s="81" t="s">
        <v>2005</v>
      </c>
      <c r="M5" s="96" t="s">
        <v>1691</v>
      </c>
      <c r="N5" s="81" t="s">
        <v>2006</v>
      </c>
      <c r="P5" s="97" t="s">
        <v>2007</v>
      </c>
      <c r="Q5" s="98">
        <f>COUNTA(A5:A12)</f>
        <v>8</v>
      </c>
    </row>
    <row r="6" spans="1:17">
      <c r="A6" s="81" t="s">
        <v>1060</v>
      </c>
      <c r="B6" s="81">
        <v>46062</v>
      </c>
      <c r="C6" s="81" t="s">
        <v>2008</v>
      </c>
      <c r="D6" s="100" t="s">
        <v>2009</v>
      </c>
      <c r="E6" s="81" t="s">
        <v>2010</v>
      </c>
      <c r="F6" s="81" t="s">
        <v>2011</v>
      </c>
      <c r="G6" s="81" t="s">
        <v>2012</v>
      </c>
      <c r="H6" s="81" t="s">
        <v>2013</v>
      </c>
      <c r="I6" s="81" t="s">
        <v>2014</v>
      </c>
      <c r="J6" s="81" t="s">
        <v>2015</v>
      </c>
      <c r="K6" s="81" t="s">
        <v>269</v>
      </c>
      <c r="L6" s="81" t="s">
        <v>2016</v>
      </c>
      <c r="M6" s="96" t="s">
        <v>1691</v>
      </c>
      <c r="N6" s="81" t="s">
        <v>2017</v>
      </c>
      <c r="P6" s="97" t="s">
        <v>2018</v>
      </c>
      <c r="Q6" s="98">
        <f>COUNTIF(D5:D12,"Sev 1")</f>
        <v>0</v>
      </c>
    </row>
    <row r="7" spans="1:17">
      <c r="A7" s="81" t="s">
        <v>2019</v>
      </c>
      <c r="B7" s="81">
        <v>46065</v>
      </c>
      <c r="C7" s="81" t="s">
        <v>2008</v>
      </c>
      <c r="D7" s="120" t="s">
        <v>1998</v>
      </c>
      <c r="E7" s="81" t="s">
        <v>2020</v>
      </c>
      <c r="F7" s="81" t="s">
        <v>2021</v>
      </c>
      <c r="G7" s="81" t="s">
        <v>2022</v>
      </c>
      <c r="H7" s="81" t="s">
        <v>2023</v>
      </c>
      <c r="I7" s="81" t="s">
        <v>2024</v>
      </c>
      <c r="J7" s="81" t="s">
        <v>2025</v>
      </c>
      <c r="K7" s="81" t="s">
        <v>150</v>
      </c>
      <c r="L7" s="81" t="s">
        <v>2026</v>
      </c>
      <c r="M7" s="96" t="s">
        <v>1691</v>
      </c>
      <c r="N7" s="81" t="s">
        <v>2027</v>
      </c>
      <c r="P7" s="97" t="s">
        <v>1998</v>
      </c>
      <c r="Q7" s="98">
        <f>COUNTIF(D5:D12,"Sev 2")</f>
        <v>4</v>
      </c>
    </row>
    <row r="8" spans="1:17">
      <c r="A8" s="81" t="s">
        <v>1147</v>
      </c>
      <c r="B8" s="81">
        <v>46073</v>
      </c>
      <c r="C8" s="81" t="s">
        <v>2028</v>
      </c>
      <c r="D8" s="100" t="s">
        <v>2009</v>
      </c>
      <c r="E8" s="81" t="s">
        <v>2029</v>
      </c>
      <c r="F8" s="81" t="s">
        <v>2030</v>
      </c>
      <c r="G8" s="81" t="s">
        <v>2031</v>
      </c>
      <c r="H8" s="81" t="s">
        <v>2032</v>
      </c>
      <c r="I8" s="81" t="s">
        <v>2033</v>
      </c>
      <c r="J8" s="81" t="s">
        <v>2034</v>
      </c>
      <c r="K8" s="81" t="s">
        <v>173</v>
      </c>
      <c r="L8" s="81" t="s">
        <v>2035</v>
      </c>
      <c r="M8" s="96" t="s">
        <v>1691</v>
      </c>
      <c r="N8" s="81" t="s">
        <v>2036</v>
      </c>
      <c r="P8" s="97" t="s">
        <v>2009</v>
      </c>
      <c r="Q8" s="98">
        <f>COUNTIF(D5:D12,"Sev 3")</f>
        <v>4</v>
      </c>
    </row>
    <row r="9" spans="1:17">
      <c r="A9" s="81" t="s">
        <v>1298</v>
      </c>
      <c r="B9" s="81">
        <v>46084</v>
      </c>
      <c r="C9" s="81" t="s">
        <v>2037</v>
      </c>
      <c r="D9" s="120" t="s">
        <v>1998</v>
      </c>
      <c r="E9" s="81" t="s">
        <v>2038</v>
      </c>
      <c r="F9" s="81" t="s">
        <v>2039</v>
      </c>
      <c r="G9" s="81" t="s">
        <v>2040</v>
      </c>
      <c r="H9" s="81" t="s">
        <v>2041</v>
      </c>
      <c r="I9" s="81" t="s">
        <v>2042</v>
      </c>
      <c r="J9" s="81" t="s">
        <v>2043</v>
      </c>
      <c r="K9" s="81" t="s">
        <v>299</v>
      </c>
      <c r="L9" s="81" t="s">
        <v>2044</v>
      </c>
      <c r="M9" s="96" t="s">
        <v>1691</v>
      </c>
      <c r="N9" s="81" t="s">
        <v>2045</v>
      </c>
      <c r="P9" s="97" t="s">
        <v>1691</v>
      </c>
      <c r="Q9" s="98">
        <f>COUNTIF(M5:M12,"Closed")</f>
        <v>8</v>
      </c>
    </row>
    <row r="10" spans="1:17">
      <c r="A10" s="81" t="s">
        <v>1130</v>
      </c>
      <c r="B10" s="81">
        <v>46095</v>
      </c>
      <c r="C10" s="81" t="s">
        <v>2008</v>
      </c>
      <c r="D10" s="100" t="s">
        <v>2009</v>
      </c>
      <c r="E10" s="81" t="s">
        <v>2046</v>
      </c>
      <c r="F10" s="81" t="s">
        <v>2047</v>
      </c>
      <c r="G10" s="81" t="s">
        <v>2048</v>
      </c>
      <c r="H10" s="81" t="s">
        <v>2049</v>
      </c>
      <c r="I10" s="81" t="s">
        <v>2050</v>
      </c>
      <c r="J10" s="81" t="s">
        <v>2051</v>
      </c>
      <c r="K10" s="81" t="s">
        <v>68</v>
      </c>
      <c r="L10" s="81" t="s">
        <v>2052</v>
      </c>
      <c r="M10" s="96" t="s">
        <v>1691</v>
      </c>
      <c r="N10" s="81" t="s">
        <v>2053</v>
      </c>
      <c r="P10" s="97" t="s">
        <v>930</v>
      </c>
      <c r="Q10" s="98">
        <f>COUNTIF(M5:M12,"Open")+COUNTIF(M5:M12,"Under Review")</f>
        <v>0</v>
      </c>
    </row>
    <row r="11" spans="1:17">
      <c r="A11" s="81" t="s">
        <v>1274</v>
      </c>
      <c r="B11" s="81">
        <v>46103</v>
      </c>
      <c r="C11" s="81" t="s">
        <v>2054</v>
      </c>
      <c r="D11" s="120" t="s">
        <v>1998</v>
      </c>
      <c r="E11" s="81" t="s">
        <v>2055</v>
      </c>
      <c r="F11" s="81" t="s">
        <v>2056</v>
      </c>
      <c r="G11" s="81" t="s">
        <v>2057</v>
      </c>
      <c r="H11" s="81" t="s">
        <v>2058</v>
      </c>
      <c r="I11" s="81" t="s">
        <v>2059</v>
      </c>
      <c r="J11" s="81" t="s">
        <v>2060</v>
      </c>
      <c r="K11" s="81" t="s">
        <v>173</v>
      </c>
      <c r="L11" s="81" t="s">
        <v>2061</v>
      </c>
      <c r="M11" s="96" t="s">
        <v>1691</v>
      </c>
      <c r="N11" s="81" t="s">
        <v>2062</v>
      </c>
      <c r="P11" s="97" t="s">
        <v>2063</v>
      </c>
      <c r="Q11" s="98">
        <f>COUNTIF(C5:C12,"Vendor Outage")</f>
        <v>1</v>
      </c>
    </row>
    <row r="12" spans="1:17">
      <c r="A12" s="81" t="s">
        <v>1229</v>
      </c>
      <c r="B12" s="81">
        <v>46114</v>
      </c>
      <c r="C12" s="81" t="s">
        <v>2008</v>
      </c>
      <c r="D12" s="100" t="s">
        <v>2009</v>
      </c>
      <c r="E12" s="81" t="s">
        <v>2064</v>
      </c>
      <c r="F12" s="81" t="s">
        <v>2065</v>
      </c>
      <c r="G12" s="81" t="s">
        <v>2066</v>
      </c>
      <c r="H12" s="81" t="s">
        <v>2067</v>
      </c>
      <c r="I12" s="81" t="s">
        <v>2068</v>
      </c>
      <c r="J12" s="81" t="s">
        <v>2069</v>
      </c>
      <c r="K12" s="81" t="s">
        <v>150</v>
      </c>
      <c r="L12" s="81" t="s">
        <v>2070</v>
      </c>
      <c r="M12" s="96" t="s">
        <v>1691</v>
      </c>
      <c r="N12" s="81" t="s">
        <v>2071</v>
      </c>
      <c r="P12" s="97" t="s">
        <v>2008</v>
      </c>
      <c r="Q12" s="98">
        <f>COUNTIF(C5:C12,"Output Quality")</f>
        <v>4</v>
      </c>
    </row>
  </sheetData>
  <mergeCells count="3">
    <mergeCell ref="A1:N1"/>
    <mergeCell ref="A2:N2"/>
    <mergeCell ref="P4:Q4"/>
  </mergeCells>
  <pageMargins left="0.7" right="0.7" top="0.75" bottom="0.75" header="0.3" footer="0.3"/>
  <pageSetup orientation="portrait"/>
  <headerFooter>
    <oddHeader>&amp;L&amp;C&amp;R</oddHeader>
    <oddFooter>&amp;L&amp;C&amp;R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77A8-F478-A9A8-9AF8-696C9DF23EE8}">
  <dimension ref="A1:Z40"/>
  <sheetViews>
    <sheetView topLeftCell="R1" workbookViewId="0">
      <pane ySplit="4" topLeftCell="A5" activePane="bottomLeft" state="frozen"/>
      <selection pane="bottomLeft" activeCell="T4" sqref="T4:U4"/>
    </sheetView>
  </sheetViews>
  <sheetFormatPr defaultColWidth="8.85546875" defaultRowHeight="15" customHeight="1"/>
  <cols>
    <col min="1" max="1" width="15.140625" bestFit="1" customWidth="1"/>
    <col min="2" max="2" width="84.42578125" bestFit="1" customWidth="1"/>
    <col min="3" max="3" width="16.42578125" bestFit="1" customWidth="1"/>
    <col min="4" max="4" width="18.28515625" bestFit="1" customWidth="1"/>
    <col min="5" max="5" width="37.28515625" bestFit="1" customWidth="1"/>
    <col min="6" max="6" width="67.42578125" bestFit="1" customWidth="1"/>
    <col min="7" max="7" width="12.85546875" customWidth="1"/>
    <col min="8" max="8" width="14" bestFit="1" customWidth="1"/>
    <col min="9" max="9" width="68.140625" bestFit="1" customWidth="1"/>
    <col min="10" max="10" width="37.140625" bestFit="1" customWidth="1"/>
    <col min="11" max="11" width="22" bestFit="1" customWidth="1"/>
    <col min="12" max="12" width="11.7109375" bestFit="1" customWidth="1"/>
    <col min="13" max="13" width="17.7109375" bestFit="1" customWidth="1"/>
    <col min="14" max="14" width="69.5703125" bestFit="1" customWidth="1"/>
    <col min="15" max="15" width="32.7109375" bestFit="1" customWidth="1"/>
    <col min="16" max="16" width="56.42578125" bestFit="1" customWidth="1"/>
    <col min="17" max="17" width="64.28515625" bestFit="1" customWidth="1"/>
    <col min="18" max="18" width="21.5703125" bestFit="1" customWidth="1"/>
    <col min="20" max="20" width="26" bestFit="1" customWidth="1"/>
    <col min="21" max="21" width="6.85546875" bestFit="1" customWidth="1"/>
  </cols>
  <sheetData>
    <row r="1" spans="1:26" ht="18.75">
      <c r="A1" s="238" t="s">
        <v>2072</v>
      </c>
      <c r="B1" s="245"/>
      <c r="C1" s="245"/>
      <c r="D1" s="245"/>
      <c r="E1" s="245"/>
      <c r="F1" s="245"/>
      <c r="G1" s="245"/>
      <c r="H1" s="245"/>
      <c r="I1" s="245"/>
      <c r="J1" s="245"/>
      <c r="K1" s="245"/>
      <c r="L1" s="245"/>
      <c r="M1" s="245"/>
      <c r="N1" s="245"/>
      <c r="O1" s="245"/>
      <c r="P1" s="245"/>
      <c r="Q1" s="245"/>
      <c r="R1" s="245"/>
      <c r="S1" s="121"/>
      <c r="T1" s="121"/>
      <c r="U1" s="121"/>
      <c r="V1" s="121"/>
      <c r="W1" s="121"/>
      <c r="X1" s="121"/>
      <c r="Y1" s="121"/>
      <c r="Z1" s="121"/>
    </row>
    <row r="2" spans="1:26">
      <c r="A2" s="246" t="s">
        <v>2073</v>
      </c>
      <c r="B2" s="245"/>
      <c r="C2" s="245"/>
      <c r="D2" s="245"/>
      <c r="E2" s="245"/>
      <c r="F2" s="245"/>
      <c r="G2" s="245"/>
      <c r="H2" s="245"/>
      <c r="I2" s="245"/>
      <c r="J2" s="245"/>
      <c r="K2" s="245"/>
      <c r="L2" s="245"/>
      <c r="M2" s="245"/>
      <c r="N2" s="245"/>
      <c r="O2" s="245"/>
      <c r="P2" s="245"/>
      <c r="Q2" s="245"/>
      <c r="R2" s="245"/>
      <c r="S2" s="121"/>
      <c r="T2" s="121"/>
      <c r="U2" s="121"/>
      <c r="V2" s="121"/>
      <c r="W2" s="121"/>
      <c r="X2" s="121"/>
      <c r="Y2" s="121"/>
      <c r="Z2" s="121"/>
    </row>
    <row r="3" spans="1:26">
      <c r="A3" s="122" t="s">
        <v>184</v>
      </c>
      <c r="B3" s="123" t="s">
        <v>185</v>
      </c>
      <c r="C3" s="121"/>
      <c r="D3" s="121"/>
      <c r="E3" s="121"/>
      <c r="F3" s="121"/>
      <c r="G3" s="121"/>
      <c r="H3" s="121"/>
      <c r="I3" s="121"/>
      <c r="J3" s="121"/>
      <c r="K3" s="121"/>
      <c r="L3" s="121"/>
      <c r="M3" s="121"/>
      <c r="N3" s="121"/>
      <c r="O3" s="121"/>
      <c r="P3" s="121"/>
      <c r="Q3" s="121"/>
      <c r="R3" s="121"/>
      <c r="S3" s="121"/>
      <c r="T3" s="121"/>
      <c r="U3" s="121"/>
      <c r="V3" s="121"/>
      <c r="W3" s="121"/>
      <c r="X3" s="121"/>
      <c r="Y3" s="121"/>
      <c r="Z3" s="121"/>
    </row>
    <row r="4" spans="1:26">
      <c r="A4" s="82" t="s">
        <v>2074</v>
      </c>
      <c r="B4" s="82" t="s">
        <v>2075</v>
      </c>
      <c r="C4" s="82" t="s">
        <v>2076</v>
      </c>
      <c r="D4" s="82" t="s">
        <v>2077</v>
      </c>
      <c r="E4" s="82" t="s">
        <v>2078</v>
      </c>
      <c r="F4" s="82" t="s">
        <v>2079</v>
      </c>
      <c r="G4" s="82" t="s">
        <v>2080</v>
      </c>
      <c r="H4" s="82" t="s">
        <v>17</v>
      </c>
      <c r="I4" s="82" t="s">
        <v>825</v>
      </c>
      <c r="J4" s="82" t="s">
        <v>699</v>
      </c>
      <c r="K4" s="82" t="s">
        <v>2081</v>
      </c>
      <c r="L4" s="82" t="s">
        <v>2082</v>
      </c>
      <c r="M4" s="82" t="s">
        <v>2083</v>
      </c>
      <c r="N4" s="82" t="s">
        <v>2084</v>
      </c>
      <c r="O4" s="82" t="s">
        <v>2085</v>
      </c>
      <c r="P4" s="82" t="s">
        <v>2086</v>
      </c>
      <c r="Q4" s="82" t="s">
        <v>2087</v>
      </c>
      <c r="R4" s="82" t="s">
        <v>2088</v>
      </c>
      <c r="S4" s="121"/>
      <c r="T4" s="247" t="s">
        <v>2089</v>
      </c>
      <c r="U4" s="245"/>
      <c r="V4" s="121"/>
      <c r="W4" s="121"/>
      <c r="X4" s="121"/>
      <c r="Y4" s="121"/>
      <c r="Z4" s="121"/>
    </row>
    <row r="5" spans="1:26">
      <c r="A5" s="124" t="s">
        <v>764</v>
      </c>
      <c r="B5" s="124" t="s">
        <v>2090</v>
      </c>
      <c r="C5" s="125" t="s">
        <v>2091</v>
      </c>
      <c r="D5" s="125" t="s">
        <v>2092</v>
      </c>
      <c r="E5" s="124" t="s">
        <v>2093</v>
      </c>
      <c r="F5" s="124" t="s">
        <v>2094</v>
      </c>
      <c r="G5" s="124" t="s">
        <v>1378</v>
      </c>
      <c r="H5" s="124" t="s">
        <v>181</v>
      </c>
      <c r="I5" s="124" t="s">
        <v>1497</v>
      </c>
      <c r="J5" s="124" t="s">
        <v>2095</v>
      </c>
      <c r="K5" s="47" t="s">
        <v>2096</v>
      </c>
      <c r="L5" s="125" t="s">
        <v>1062</v>
      </c>
      <c r="M5" s="125" t="s">
        <v>23</v>
      </c>
      <c r="N5" s="124" t="s">
        <v>2097</v>
      </c>
      <c r="O5" s="124" t="s">
        <v>2098</v>
      </c>
      <c r="P5" s="124" t="s">
        <v>2099</v>
      </c>
      <c r="Q5" s="126" t="s">
        <v>2100</v>
      </c>
      <c r="R5" s="124"/>
      <c r="S5" s="121"/>
      <c r="T5" s="127" t="s">
        <v>2101</v>
      </c>
      <c r="U5" s="125">
        <f>COUNTA(A5:A20)</f>
        <v>16</v>
      </c>
      <c r="V5" s="121"/>
      <c r="W5" s="121"/>
      <c r="X5" s="121"/>
      <c r="Y5" s="121"/>
      <c r="Z5" s="121"/>
    </row>
    <row r="6" spans="1:26">
      <c r="A6" s="128" t="s">
        <v>2102</v>
      </c>
      <c r="B6" s="128" t="s">
        <v>2103</v>
      </c>
      <c r="C6" s="129" t="s">
        <v>2104</v>
      </c>
      <c r="D6" s="129" t="s">
        <v>2105</v>
      </c>
      <c r="E6" s="128" t="s">
        <v>2106</v>
      </c>
      <c r="F6" s="128" t="s">
        <v>2107</v>
      </c>
      <c r="G6" s="128" t="s">
        <v>675</v>
      </c>
      <c r="H6" s="128" t="s">
        <v>68</v>
      </c>
      <c r="I6" s="128" t="s">
        <v>2108</v>
      </c>
      <c r="J6" s="128" t="s">
        <v>2109</v>
      </c>
      <c r="K6" s="47" t="s">
        <v>2096</v>
      </c>
      <c r="L6" s="129" t="s">
        <v>1079</v>
      </c>
      <c r="M6" s="129" t="s">
        <v>2110</v>
      </c>
      <c r="N6" s="128" t="s">
        <v>2111</v>
      </c>
      <c r="O6" s="128" t="s">
        <v>2112</v>
      </c>
      <c r="P6" s="128" t="s">
        <v>2113</v>
      </c>
      <c r="Q6" s="126" t="s">
        <v>2114</v>
      </c>
      <c r="R6" s="128" t="s">
        <v>1834</v>
      </c>
      <c r="S6" s="121"/>
      <c r="T6" s="127" t="s">
        <v>2096</v>
      </c>
      <c r="U6" s="125">
        <f>COUNTIF(K5:K20,"Implemented")</f>
        <v>12</v>
      </c>
      <c r="V6" s="121"/>
      <c r="W6" s="121"/>
      <c r="X6" s="121"/>
      <c r="Y6" s="121"/>
      <c r="Z6" s="121"/>
    </row>
    <row r="7" spans="1:26">
      <c r="A7" s="124" t="s">
        <v>2115</v>
      </c>
      <c r="B7" s="124" t="s">
        <v>2116</v>
      </c>
      <c r="C7" s="125" t="s">
        <v>2117</v>
      </c>
      <c r="D7" s="125" t="s">
        <v>2118</v>
      </c>
      <c r="E7" s="124" t="s">
        <v>2119</v>
      </c>
      <c r="F7" s="124" t="s">
        <v>2120</v>
      </c>
      <c r="G7" s="124" t="s">
        <v>656</v>
      </c>
      <c r="H7" s="124" t="s">
        <v>150</v>
      </c>
      <c r="I7" s="124" t="s">
        <v>2121</v>
      </c>
      <c r="J7" s="124" t="s">
        <v>2122</v>
      </c>
      <c r="K7" s="47" t="s">
        <v>2096</v>
      </c>
      <c r="L7" s="125" t="s">
        <v>1207</v>
      </c>
      <c r="M7" s="125" t="s">
        <v>23</v>
      </c>
      <c r="N7" s="124" t="s">
        <v>2123</v>
      </c>
      <c r="O7" s="124" t="s">
        <v>2124</v>
      </c>
      <c r="P7" s="124" t="s">
        <v>2099</v>
      </c>
      <c r="Q7" s="126" t="s">
        <v>2125</v>
      </c>
      <c r="R7" s="124"/>
      <c r="S7" s="121"/>
      <c r="T7" s="127" t="s">
        <v>2126</v>
      </c>
      <c r="U7" s="125">
        <f>COUNTIF(K5:K20,"Partially Implemented")</f>
        <v>4</v>
      </c>
      <c r="V7" s="121"/>
      <c r="W7" s="121"/>
      <c r="X7" s="121"/>
      <c r="Y7" s="121"/>
      <c r="Z7" s="121"/>
    </row>
    <row r="8" spans="1:26">
      <c r="A8" s="128" t="s">
        <v>2127</v>
      </c>
      <c r="B8" s="128" t="s">
        <v>2128</v>
      </c>
      <c r="C8" s="129" t="s">
        <v>2129</v>
      </c>
      <c r="D8" s="129" t="s">
        <v>2130</v>
      </c>
      <c r="E8" s="128" t="s">
        <v>2131</v>
      </c>
      <c r="F8" s="128" t="s">
        <v>2132</v>
      </c>
      <c r="G8" s="128" t="s">
        <v>2133</v>
      </c>
      <c r="H8" s="128" t="s">
        <v>68</v>
      </c>
      <c r="I8" s="128" t="s">
        <v>2134</v>
      </c>
      <c r="J8" s="128" t="s">
        <v>2135</v>
      </c>
      <c r="K8" s="47" t="s">
        <v>2096</v>
      </c>
      <c r="L8" s="129" t="s">
        <v>1132</v>
      </c>
      <c r="M8" s="129" t="s">
        <v>42</v>
      </c>
      <c r="N8" s="128" t="s">
        <v>2136</v>
      </c>
      <c r="O8" s="128" t="s">
        <v>2137</v>
      </c>
      <c r="P8" s="128" t="s">
        <v>2099</v>
      </c>
      <c r="Q8" s="130" t="s">
        <v>2138</v>
      </c>
      <c r="R8" s="128"/>
      <c r="S8" s="121"/>
      <c r="T8" s="127" t="s">
        <v>2139</v>
      </c>
      <c r="U8" s="125">
        <f>COUNTIF(K5:K20,"Planned")+COUNTIF(K5:K20,"Not Implemented")</f>
        <v>0</v>
      </c>
      <c r="V8" s="121"/>
      <c r="W8" s="121"/>
      <c r="X8" s="121"/>
      <c r="Y8" s="121"/>
      <c r="Z8" s="121"/>
    </row>
    <row r="9" spans="1:26">
      <c r="A9" s="124" t="s">
        <v>674</v>
      </c>
      <c r="B9" s="124" t="s">
        <v>2140</v>
      </c>
      <c r="C9" s="125" t="s">
        <v>2129</v>
      </c>
      <c r="D9" s="125" t="s">
        <v>2130</v>
      </c>
      <c r="E9" s="124" t="s">
        <v>2141</v>
      </c>
      <c r="F9" s="124" t="s">
        <v>2142</v>
      </c>
      <c r="G9" s="124" t="s">
        <v>675</v>
      </c>
      <c r="H9" s="124" t="s">
        <v>68</v>
      </c>
      <c r="I9" s="124" t="s">
        <v>2143</v>
      </c>
      <c r="J9" s="124" t="s">
        <v>2144</v>
      </c>
      <c r="K9" s="47" t="s">
        <v>2096</v>
      </c>
      <c r="L9" s="125" t="s">
        <v>1185</v>
      </c>
      <c r="M9" s="125" t="s">
        <v>57</v>
      </c>
      <c r="N9" s="124" t="s">
        <v>2145</v>
      </c>
      <c r="O9" s="124" t="s">
        <v>2146</v>
      </c>
      <c r="P9" s="124" t="s">
        <v>2147</v>
      </c>
      <c r="Q9" s="126" t="s">
        <v>2148</v>
      </c>
      <c r="R9" s="124" t="s">
        <v>1825</v>
      </c>
      <c r="S9" s="121"/>
      <c r="T9" s="127" t="s">
        <v>2149</v>
      </c>
      <c r="U9" s="125">
        <f>SUMPRODUCT(--(LEN(C5:C20)&gt;0))</f>
        <v>16</v>
      </c>
      <c r="V9" s="121"/>
      <c r="W9" s="121"/>
      <c r="X9" s="121"/>
      <c r="Y9" s="121"/>
      <c r="Z9" s="121"/>
    </row>
    <row r="10" spans="1:26">
      <c r="A10" s="128" t="s">
        <v>2150</v>
      </c>
      <c r="B10" s="128" t="s">
        <v>2151</v>
      </c>
      <c r="C10" s="129" t="s">
        <v>2152</v>
      </c>
      <c r="D10" s="129" t="s">
        <v>2153</v>
      </c>
      <c r="E10" s="128" t="s">
        <v>2154</v>
      </c>
      <c r="F10" s="128" t="s">
        <v>2155</v>
      </c>
      <c r="G10" s="128" t="s">
        <v>662</v>
      </c>
      <c r="H10" s="128" t="s">
        <v>173</v>
      </c>
      <c r="I10" s="128" t="s">
        <v>2156</v>
      </c>
      <c r="J10" s="128" t="s">
        <v>2157</v>
      </c>
      <c r="K10" s="48" t="s">
        <v>2126</v>
      </c>
      <c r="L10" s="129" t="s">
        <v>1148</v>
      </c>
      <c r="M10" s="129" t="s">
        <v>42</v>
      </c>
      <c r="N10" s="128" t="s">
        <v>2158</v>
      </c>
      <c r="O10" s="128" t="s">
        <v>2159</v>
      </c>
      <c r="P10" s="128" t="s">
        <v>2160</v>
      </c>
      <c r="Q10" s="126" t="s">
        <v>2161</v>
      </c>
      <c r="R10" s="128" t="s">
        <v>1858</v>
      </c>
      <c r="S10" s="121"/>
      <c r="T10" s="127" t="s">
        <v>2162</v>
      </c>
      <c r="U10" s="125">
        <f>SUMPRODUCT(--(LEN(D5:D20)&gt;0))</f>
        <v>16</v>
      </c>
      <c r="V10" s="121"/>
      <c r="W10" s="121"/>
      <c r="X10" s="121"/>
      <c r="Y10" s="121"/>
      <c r="Z10" s="121"/>
    </row>
    <row r="11" spans="1:26">
      <c r="A11" s="124" t="s">
        <v>2163</v>
      </c>
      <c r="B11" s="124" t="s">
        <v>2164</v>
      </c>
      <c r="C11" s="125" t="s">
        <v>2165</v>
      </c>
      <c r="D11" s="125" t="s">
        <v>2166</v>
      </c>
      <c r="E11" s="124" t="s">
        <v>2167</v>
      </c>
      <c r="F11" s="124" t="s">
        <v>2168</v>
      </c>
      <c r="G11" s="124" t="s">
        <v>687</v>
      </c>
      <c r="H11" s="124" t="s">
        <v>24</v>
      </c>
      <c r="I11" s="124" t="s">
        <v>2169</v>
      </c>
      <c r="J11" s="124" t="s">
        <v>2135</v>
      </c>
      <c r="K11" s="47" t="s">
        <v>2096</v>
      </c>
      <c r="L11" s="125" t="s">
        <v>1132</v>
      </c>
      <c r="M11" s="125" t="s">
        <v>2170</v>
      </c>
      <c r="N11" s="124" t="s">
        <v>2171</v>
      </c>
      <c r="O11" s="124" t="s">
        <v>2172</v>
      </c>
      <c r="P11" s="124" t="s">
        <v>2099</v>
      </c>
      <c r="Q11" s="130" t="s">
        <v>2173</v>
      </c>
      <c r="R11" s="124"/>
      <c r="S11" s="121"/>
      <c r="T11" s="127" t="s">
        <v>2174</v>
      </c>
      <c r="U11" s="125">
        <f>COUNTIF(Q5:Q20,"Major*")</f>
        <v>14</v>
      </c>
      <c r="V11" s="121"/>
      <c r="W11" s="121"/>
      <c r="X11" s="121"/>
      <c r="Y11" s="121"/>
      <c r="Z11" s="121"/>
    </row>
    <row r="12" spans="1:26">
      <c r="A12" s="128" t="s">
        <v>655</v>
      </c>
      <c r="B12" s="128" t="s">
        <v>2175</v>
      </c>
      <c r="C12" s="129" t="s">
        <v>2176</v>
      </c>
      <c r="D12" s="129" t="s">
        <v>2177</v>
      </c>
      <c r="E12" s="128" t="s">
        <v>2178</v>
      </c>
      <c r="F12" s="128" t="s">
        <v>2179</v>
      </c>
      <c r="G12" s="128" t="s">
        <v>656</v>
      </c>
      <c r="H12" s="128" t="s">
        <v>150</v>
      </c>
      <c r="I12" s="128" t="s">
        <v>2180</v>
      </c>
      <c r="J12" s="128" t="s">
        <v>2181</v>
      </c>
      <c r="K12" s="47" t="s">
        <v>2096</v>
      </c>
      <c r="L12" s="129" t="s">
        <v>1115</v>
      </c>
      <c r="M12" s="129" t="s">
        <v>23</v>
      </c>
      <c r="N12" s="128" t="s">
        <v>2182</v>
      </c>
      <c r="O12" s="128" t="s">
        <v>2183</v>
      </c>
      <c r="P12" s="128" t="s">
        <v>2099</v>
      </c>
      <c r="Q12" s="126" t="s">
        <v>2184</v>
      </c>
      <c r="R12" s="128"/>
      <c r="S12" s="121"/>
      <c r="T12" s="127" t="s">
        <v>2185</v>
      </c>
      <c r="U12" s="125">
        <f>COUNTIF(Q5:Q20,"Minor*")</f>
        <v>2</v>
      </c>
      <c r="V12" s="121"/>
      <c r="W12" s="121"/>
      <c r="X12" s="121"/>
      <c r="Y12" s="121"/>
      <c r="Z12" s="121"/>
    </row>
    <row r="13" spans="1:26">
      <c r="A13" s="124" t="s">
        <v>2186</v>
      </c>
      <c r="B13" s="124" t="s">
        <v>2187</v>
      </c>
      <c r="C13" s="125" t="s">
        <v>2165</v>
      </c>
      <c r="D13" s="125" t="s">
        <v>2188</v>
      </c>
      <c r="E13" s="124" t="s">
        <v>2189</v>
      </c>
      <c r="F13" s="124" t="s">
        <v>2190</v>
      </c>
      <c r="G13" s="124" t="s">
        <v>687</v>
      </c>
      <c r="H13" s="124" t="s">
        <v>24</v>
      </c>
      <c r="I13" s="124" t="s">
        <v>1574</v>
      </c>
      <c r="J13" s="124" t="s">
        <v>718</v>
      </c>
      <c r="K13" s="48" t="s">
        <v>2126</v>
      </c>
      <c r="L13" s="125" t="s">
        <v>490</v>
      </c>
      <c r="M13" s="125" t="s">
        <v>2191</v>
      </c>
      <c r="N13" s="124" t="s">
        <v>2192</v>
      </c>
      <c r="O13" s="124" t="s">
        <v>2193</v>
      </c>
      <c r="P13" s="124" t="s">
        <v>2194</v>
      </c>
      <c r="Q13" s="126" t="s">
        <v>2195</v>
      </c>
      <c r="R13" s="124" t="s">
        <v>2196</v>
      </c>
      <c r="S13" s="121"/>
      <c r="T13" s="127" t="s">
        <v>215</v>
      </c>
      <c r="U13" s="125">
        <f>SUMPRODUCT((LEN(P5:P20)&gt;0)*(P5:P20&lt;&gt;"No material gaps"))</f>
        <v>6</v>
      </c>
      <c r="V13" s="121"/>
      <c r="W13" s="121"/>
      <c r="X13" s="121"/>
      <c r="Y13" s="121"/>
      <c r="Z13" s="121"/>
    </row>
    <row r="14" spans="1:26">
      <c r="A14" s="128" t="s">
        <v>2197</v>
      </c>
      <c r="B14" s="128" t="s">
        <v>2198</v>
      </c>
      <c r="C14" s="129" t="s">
        <v>2165</v>
      </c>
      <c r="D14" s="129" t="s">
        <v>2199</v>
      </c>
      <c r="E14" s="128" t="s">
        <v>2200</v>
      </c>
      <c r="F14" s="128" t="s">
        <v>2201</v>
      </c>
      <c r="G14" s="128" t="s">
        <v>662</v>
      </c>
      <c r="H14" s="128" t="s">
        <v>150</v>
      </c>
      <c r="I14" s="128" t="s">
        <v>2202</v>
      </c>
      <c r="J14" s="128" t="s">
        <v>2203</v>
      </c>
      <c r="K14" s="47" t="s">
        <v>2096</v>
      </c>
      <c r="L14" s="129" t="s">
        <v>1230</v>
      </c>
      <c r="M14" s="129" t="s">
        <v>42</v>
      </c>
      <c r="N14" s="128" t="s">
        <v>2204</v>
      </c>
      <c r="O14" s="128" t="s">
        <v>2205</v>
      </c>
      <c r="P14" s="128" t="s">
        <v>2099</v>
      </c>
      <c r="Q14" s="126" t="s">
        <v>2206</v>
      </c>
      <c r="R14" s="128"/>
      <c r="S14" s="121"/>
      <c r="T14" s="127" t="s">
        <v>2207</v>
      </c>
      <c r="U14" s="125">
        <f>COUNTIF(E5:E20,"*FCA*")</f>
        <v>6</v>
      </c>
      <c r="V14" s="121"/>
      <c r="W14" s="121"/>
      <c r="X14" s="121"/>
      <c r="Y14" s="121"/>
      <c r="Z14" s="121"/>
    </row>
    <row r="15" spans="1:26">
      <c r="A15" s="124" t="s">
        <v>2208</v>
      </c>
      <c r="B15" s="124" t="s">
        <v>2209</v>
      </c>
      <c r="C15" s="125" t="s">
        <v>2165</v>
      </c>
      <c r="D15" s="125" t="s">
        <v>2210</v>
      </c>
      <c r="E15" s="124" t="s">
        <v>2211</v>
      </c>
      <c r="F15" s="124" t="s">
        <v>2212</v>
      </c>
      <c r="G15" s="124" t="s">
        <v>687</v>
      </c>
      <c r="H15" s="124" t="s">
        <v>24</v>
      </c>
      <c r="I15" s="124" t="s">
        <v>2213</v>
      </c>
      <c r="J15" s="124" t="s">
        <v>718</v>
      </c>
      <c r="K15" s="48" t="s">
        <v>2126</v>
      </c>
      <c r="L15" s="125" t="s">
        <v>490</v>
      </c>
      <c r="M15" s="125" t="s">
        <v>2110</v>
      </c>
      <c r="N15" s="124" t="s">
        <v>2214</v>
      </c>
      <c r="O15" s="124" t="s">
        <v>2215</v>
      </c>
      <c r="P15" s="124" t="s">
        <v>2216</v>
      </c>
      <c r="Q15" s="126" t="s">
        <v>2217</v>
      </c>
      <c r="R15" s="124" t="s">
        <v>2196</v>
      </c>
      <c r="S15" s="121"/>
      <c r="T15" s="127" t="s">
        <v>2218</v>
      </c>
      <c r="U15" s="125">
        <f>COUNTIF(E5:E20,"*NIST AI RMF*")</f>
        <v>8</v>
      </c>
      <c r="V15" s="121"/>
      <c r="W15" s="121"/>
      <c r="X15" s="121"/>
      <c r="Y15" s="121"/>
      <c r="Z15" s="121"/>
    </row>
    <row r="16" spans="1:26">
      <c r="A16" s="128" t="s">
        <v>2219</v>
      </c>
      <c r="B16" s="128" t="s">
        <v>2220</v>
      </c>
      <c r="C16" s="129" t="s">
        <v>2117</v>
      </c>
      <c r="D16" s="129" t="s">
        <v>2118</v>
      </c>
      <c r="E16" s="128" t="s">
        <v>2119</v>
      </c>
      <c r="F16" s="128" t="s">
        <v>2221</v>
      </c>
      <c r="G16" s="128" t="s">
        <v>656</v>
      </c>
      <c r="H16" s="128" t="s">
        <v>269</v>
      </c>
      <c r="I16" s="128" t="s">
        <v>1497</v>
      </c>
      <c r="J16" s="128" t="s">
        <v>2222</v>
      </c>
      <c r="K16" s="47" t="s">
        <v>2096</v>
      </c>
      <c r="L16" s="129" t="s">
        <v>1197</v>
      </c>
      <c r="M16" s="129" t="s">
        <v>23</v>
      </c>
      <c r="N16" s="128" t="s">
        <v>2223</v>
      </c>
      <c r="O16" s="128" t="s">
        <v>2224</v>
      </c>
      <c r="P16" s="128" t="s">
        <v>2099</v>
      </c>
      <c r="Q16" s="126" t="s">
        <v>2225</v>
      </c>
      <c r="R16" s="128"/>
      <c r="S16" s="121"/>
      <c r="T16" s="127" t="s">
        <v>2226</v>
      </c>
      <c r="U16" s="131">
        <f>COUNTIF(K5:K20,"Implemented")/COUNTA(A5:A20)</f>
        <v>0.75</v>
      </c>
      <c r="V16" s="121"/>
      <c r="W16" s="121"/>
      <c r="X16" s="121"/>
      <c r="Y16" s="121"/>
      <c r="Z16" s="121"/>
    </row>
    <row r="17" spans="1:26">
      <c r="A17" s="124" t="s">
        <v>2227</v>
      </c>
      <c r="B17" s="124" t="s">
        <v>2228</v>
      </c>
      <c r="C17" s="125" t="s">
        <v>2129</v>
      </c>
      <c r="D17" s="125" t="s">
        <v>2229</v>
      </c>
      <c r="E17" s="124" t="s">
        <v>2230</v>
      </c>
      <c r="F17" s="124" t="s">
        <v>2231</v>
      </c>
      <c r="G17" s="124" t="s">
        <v>2133</v>
      </c>
      <c r="H17" s="124" t="s">
        <v>173</v>
      </c>
      <c r="I17" s="124" t="s">
        <v>1855</v>
      </c>
      <c r="J17" s="124" t="s">
        <v>2157</v>
      </c>
      <c r="K17" s="47" t="s">
        <v>2096</v>
      </c>
      <c r="L17" s="125" t="s">
        <v>1276</v>
      </c>
      <c r="M17" s="125" t="s">
        <v>42</v>
      </c>
      <c r="N17" s="124" t="s">
        <v>2232</v>
      </c>
      <c r="O17" s="124" t="s">
        <v>2233</v>
      </c>
      <c r="P17" s="124" t="s">
        <v>2099</v>
      </c>
      <c r="Q17" s="126" t="s">
        <v>2234</v>
      </c>
      <c r="R17" s="124"/>
      <c r="S17" s="121"/>
      <c r="T17" s="121"/>
      <c r="U17" s="121"/>
      <c r="V17" s="121"/>
      <c r="W17" s="121"/>
      <c r="X17" s="121"/>
      <c r="Y17" s="121"/>
      <c r="Z17" s="121"/>
    </row>
    <row r="18" spans="1:26">
      <c r="A18" s="128" t="s">
        <v>2235</v>
      </c>
      <c r="B18" s="128" t="s">
        <v>2236</v>
      </c>
      <c r="C18" s="129" t="s">
        <v>2237</v>
      </c>
      <c r="D18" s="129" t="s">
        <v>2118</v>
      </c>
      <c r="E18" s="128" t="s">
        <v>2238</v>
      </c>
      <c r="F18" s="128" t="s">
        <v>2239</v>
      </c>
      <c r="G18" s="128" t="s">
        <v>656</v>
      </c>
      <c r="H18" s="128" t="s">
        <v>269</v>
      </c>
      <c r="I18" s="128" t="s">
        <v>2240</v>
      </c>
      <c r="J18" s="128" t="s">
        <v>2241</v>
      </c>
      <c r="K18" s="47" t="s">
        <v>2096</v>
      </c>
      <c r="L18" s="129" t="s">
        <v>1242</v>
      </c>
      <c r="M18" s="129" t="s">
        <v>2110</v>
      </c>
      <c r="N18" s="128" t="s">
        <v>2242</v>
      </c>
      <c r="O18" s="128" t="s">
        <v>2243</v>
      </c>
      <c r="P18" s="128" t="s">
        <v>2099</v>
      </c>
      <c r="Q18" s="126" t="s">
        <v>2244</v>
      </c>
      <c r="R18" s="128"/>
      <c r="S18" s="121"/>
      <c r="T18" s="121"/>
      <c r="U18" s="121"/>
      <c r="V18" s="121"/>
      <c r="W18" s="121"/>
      <c r="X18" s="121"/>
      <c r="Y18" s="121"/>
      <c r="Z18" s="121"/>
    </row>
    <row r="19" spans="1:26">
      <c r="A19" s="124" t="s">
        <v>2245</v>
      </c>
      <c r="B19" s="124" t="s">
        <v>2246</v>
      </c>
      <c r="C19" s="125" t="s">
        <v>2176</v>
      </c>
      <c r="D19" s="125" t="s">
        <v>2177</v>
      </c>
      <c r="E19" s="124" t="s">
        <v>2247</v>
      </c>
      <c r="F19" s="124" t="s">
        <v>2248</v>
      </c>
      <c r="G19" s="124" t="s">
        <v>656</v>
      </c>
      <c r="H19" s="124" t="s">
        <v>150</v>
      </c>
      <c r="I19" s="124" t="s">
        <v>1870</v>
      </c>
      <c r="J19" s="124" t="s">
        <v>2122</v>
      </c>
      <c r="K19" s="47" t="s">
        <v>2096</v>
      </c>
      <c r="L19" s="125" t="s">
        <v>1207</v>
      </c>
      <c r="M19" s="125" t="s">
        <v>23</v>
      </c>
      <c r="N19" s="124" t="s">
        <v>2249</v>
      </c>
      <c r="O19" s="124" t="s">
        <v>2250</v>
      </c>
      <c r="P19" s="124" t="s">
        <v>2099</v>
      </c>
      <c r="Q19" s="126" t="s">
        <v>2251</v>
      </c>
      <c r="R19" s="124"/>
      <c r="S19" s="121"/>
      <c r="T19" s="121"/>
      <c r="U19" s="121"/>
      <c r="V19" s="121"/>
      <c r="W19" s="121"/>
      <c r="X19" s="121"/>
      <c r="Y19" s="121"/>
      <c r="Z19" s="121"/>
    </row>
    <row r="20" spans="1:26">
      <c r="A20" s="128" t="s">
        <v>2252</v>
      </c>
      <c r="B20" s="128" t="s">
        <v>2253</v>
      </c>
      <c r="C20" s="129" t="s">
        <v>2254</v>
      </c>
      <c r="D20" s="129" t="s">
        <v>2255</v>
      </c>
      <c r="E20" s="128" t="s">
        <v>2256</v>
      </c>
      <c r="F20" s="128" t="s">
        <v>2257</v>
      </c>
      <c r="G20" s="128" t="s">
        <v>1378</v>
      </c>
      <c r="H20" s="128" t="s">
        <v>181</v>
      </c>
      <c r="I20" s="128" t="s">
        <v>2258</v>
      </c>
      <c r="J20" s="128" t="s">
        <v>2259</v>
      </c>
      <c r="K20" s="48" t="s">
        <v>2126</v>
      </c>
      <c r="L20" s="129" t="s">
        <v>487</v>
      </c>
      <c r="M20" s="129" t="s">
        <v>2110</v>
      </c>
      <c r="N20" s="128" t="s">
        <v>2260</v>
      </c>
      <c r="O20" s="128" t="s">
        <v>2261</v>
      </c>
      <c r="P20" s="128" t="s">
        <v>2262</v>
      </c>
      <c r="Q20" s="126" t="s">
        <v>2263</v>
      </c>
      <c r="R20" s="128" t="s">
        <v>1876</v>
      </c>
      <c r="S20" s="121"/>
      <c r="T20" s="121"/>
      <c r="U20" s="121"/>
      <c r="V20" s="121"/>
      <c r="W20" s="121"/>
      <c r="X20" s="121"/>
      <c r="Y20" s="121"/>
      <c r="Z20" s="121"/>
    </row>
    <row r="21" spans="1:26">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row>
    <row r="22" spans="1:26">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row>
    <row r="23" spans="1:26">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row>
    <row r="24" spans="1:26">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row>
    <row r="25" spans="1:26">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row>
    <row r="26" spans="1: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spans="1:26">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spans="1:26">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spans="1:26">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spans="1:26">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spans="1:26">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spans="1:26">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spans="1:26">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spans="1:26">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spans="1:26">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spans="1:2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spans="1:26">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spans="1:26">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spans="1:26">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row>
    <row r="40" spans="1:26">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row>
  </sheetData>
  <mergeCells count="3">
    <mergeCell ref="A1:R1"/>
    <mergeCell ref="A2:R2"/>
    <mergeCell ref="T4:U4"/>
  </mergeCells>
  <pageMargins left="0.7" right="0.7" top="0.75" bottom="0.75" header="0.3" footer="0.3"/>
  <pageSetup orientation="portrait"/>
  <headerFooter>
    <oddHeader>&amp;L&amp;C&amp;R</oddHeader>
    <oddFooter>&amp;L&amp;C&amp;R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C5C8-BB4B-97C7-67F8-94104B7113DC}">
  <dimension ref="A1:K16"/>
  <sheetViews>
    <sheetView workbookViewId="0">
      <pane ySplit="4" topLeftCell="A5" activePane="bottomLeft" state="frozen"/>
      <selection pane="bottomLeft" sqref="A1:K1"/>
    </sheetView>
  </sheetViews>
  <sheetFormatPr defaultColWidth="8.85546875" defaultRowHeight="15" customHeight="1"/>
  <cols>
    <col min="1" max="1" width="23.7109375" bestFit="1" customWidth="1"/>
    <col min="2" max="2" width="85.42578125" bestFit="1" customWidth="1"/>
    <col min="3" max="3" width="16.28515625" bestFit="1" customWidth="1"/>
    <col min="4" max="4" width="37.140625" bestFit="1" customWidth="1"/>
    <col min="5" max="5" width="21.7109375" bestFit="1" customWidth="1"/>
    <col min="6" max="6" width="49.42578125" bestFit="1" customWidth="1"/>
    <col min="7" max="7" width="13.5703125" bestFit="1" customWidth="1"/>
    <col min="8" max="8" width="20.28515625" bestFit="1" customWidth="1"/>
    <col min="9" max="9" width="13.28515625" bestFit="1" customWidth="1"/>
    <col min="10" max="10" width="12.42578125" bestFit="1" customWidth="1"/>
    <col min="11" max="11" width="47.5703125" bestFit="1" customWidth="1"/>
  </cols>
  <sheetData>
    <row r="1" spans="1:11" ht="18.75">
      <c r="A1" s="198" t="s">
        <v>2264</v>
      </c>
      <c r="B1" s="191"/>
      <c r="C1" s="191"/>
      <c r="D1" s="191"/>
      <c r="E1" s="191"/>
      <c r="F1" s="191"/>
      <c r="G1" s="191"/>
      <c r="H1" s="191"/>
      <c r="I1" s="191"/>
      <c r="J1" s="191"/>
      <c r="K1" s="191"/>
    </row>
    <row r="2" spans="1:11">
      <c r="A2" s="248" t="s">
        <v>2265</v>
      </c>
      <c r="B2" s="191"/>
      <c r="C2" s="191"/>
      <c r="D2" s="191"/>
      <c r="E2" s="191"/>
      <c r="F2" s="191"/>
      <c r="G2" s="191"/>
      <c r="H2" s="191"/>
      <c r="I2" s="191"/>
      <c r="J2" s="191"/>
      <c r="K2" s="191"/>
    </row>
    <row r="3" spans="1:11">
      <c r="A3" s="10" t="s">
        <v>184</v>
      </c>
    </row>
    <row r="4" spans="1:11">
      <c r="A4" s="132" t="s">
        <v>2266</v>
      </c>
      <c r="B4" s="132" t="s">
        <v>2267</v>
      </c>
      <c r="C4" s="132" t="s">
        <v>2268</v>
      </c>
      <c r="D4" s="132" t="s">
        <v>2269</v>
      </c>
      <c r="E4" s="132" t="s">
        <v>2081</v>
      </c>
      <c r="F4" s="132" t="s">
        <v>823</v>
      </c>
      <c r="G4" s="132" t="s">
        <v>17</v>
      </c>
      <c r="H4" s="132" t="s">
        <v>935</v>
      </c>
      <c r="I4" s="132" t="s">
        <v>2270</v>
      </c>
      <c r="J4" s="132" t="s">
        <v>1038</v>
      </c>
      <c r="K4" s="132" t="s">
        <v>78</v>
      </c>
    </row>
    <row r="5" spans="1:11">
      <c r="A5" s="15" t="s">
        <v>2271</v>
      </c>
      <c r="B5" s="15" t="s">
        <v>2272</v>
      </c>
      <c r="C5" s="15" t="s">
        <v>764</v>
      </c>
      <c r="D5" s="15" t="s">
        <v>2273</v>
      </c>
      <c r="E5" s="87" t="s">
        <v>2096</v>
      </c>
      <c r="F5" s="15" t="s">
        <v>2274</v>
      </c>
      <c r="G5" s="15" t="s">
        <v>173</v>
      </c>
      <c r="H5" s="16" t="s">
        <v>2275</v>
      </c>
      <c r="I5" s="21" t="s">
        <v>2276</v>
      </c>
      <c r="J5" s="15" t="s">
        <v>1185</v>
      </c>
      <c r="K5" s="15" t="s">
        <v>2277</v>
      </c>
    </row>
    <row r="6" spans="1:11">
      <c r="A6" s="18" t="s">
        <v>2278</v>
      </c>
      <c r="B6" s="18" t="s">
        <v>2279</v>
      </c>
      <c r="C6" s="18" t="s">
        <v>674</v>
      </c>
      <c r="D6" s="18" t="s">
        <v>2280</v>
      </c>
      <c r="E6" s="87" t="s">
        <v>2096</v>
      </c>
      <c r="F6" s="18" t="s">
        <v>2281</v>
      </c>
      <c r="G6" s="18" t="s">
        <v>173</v>
      </c>
      <c r="H6" s="19" t="s">
        <v>2282</v>
      </c>
      <c r="I6" s="23" t="s">
        <v>2283</v>
      </c>
      <c r="J6" s="18" t="s">
        <v>1185</v>
      </c>
      <c r="K6" s="18" t="s">
        <v>2284</v>
      </c>
    </row>
    <row r="7" spans="1:11">
      <c r="A7" s="15" t="s">
        <v>2285</v>
      </c>
      <c r="B7" s="15" t="s">
        <v>2286</v>
      </c>
      <c r="C7" s="15" t="s">
        <v>2150</v>
      </c>
      <c r="D7" s="15" t="s">
        <v>2287</v>
      </c>
      <c r="E7" s="87" t="s">
        <v>2096</v>
      </c>
      <c r="F7" s="15" t="s">
        <v>2288</v>
      </c>
      <c r="G7" s="15" t="s">
        <v>173</v>
      </c>
      <c r="H7" s="16" t="s">
        <v>2282</v>
      </c>
      <c r="I7" s="21" t="s">
        <v>2289</v>
      </c>
      <c r="J7" s="15" t="s">
        <v>1185</v>
      </c>
      <c r="K7" s="15" t="s">
        <v>2290</v>
      </c>
    </row>
    <row r="8" spans="1:11">
      <c r="A8" s="18" t="s">
        <v>2291</v>
      </c>
      <c r="B8" s="18" t="s">
        <v>2292</v>
      </c>
      <c r="C8" s="18" t="s">
        <v>2150</v>
      </c>
      <c r="D8" s="18" t="s">
        <v>2280</v>
      </c>
      <c r="E8" s="87" t="s">
        <v>2096</v>
      </c>
      <c r="F8" s="18" t="s">
        <v>2293</v>
      </c>
      <c r="G8" s="18" t="s">
        <v>173</v>
      </c>
      <c r="H8" s="19" t="s">
        <v>2282</v>
      </c>
      <c r="I8" s="23" t="s">
        <v>2289</v>
      </c>
      <c r="J8" s="18" t="s">
        <v>1185</v>
      </c>
      <c r="K8" s="18" t="s">
        <v>2294</v>
      </c>
    </row>
    <row r="9" spans="1:11">
      <c r="A9" s="15" t="s">
        <v>2295</v>
      </c>
      <c r="B9" s="15" t="s">
        <v>2296</v>
      </c>
      <c r="C9" s="15" t="s">
        <v>2227</v>
      </c>
      <c r="D9" s="15" t="s">
        <v>2287</v>
      </c>
      <c r="E9" s="87" t="s">
        <v>2096</v>
      </c>
      <c r="F9" s="15" t="s">
        <v>2297</v>
      </c>
      <c r="G9" s="15" t="s">
        <v>173</v>
      </c>
      <c r="H9" s="16" t="s">
        <v>2298</v>
      </c>
      <c r="I9" s="21" t="s">
        <v>2299</v>
      </c>
      <c r="J9" s="15" t="s">
        <v>1276</v>
      </c>
      <c r="K9" s="15" t="s">
        <v>2300</v>
      </c>
    </row>
    <row r="10" spans="1:11">
      <c r="A10" s="18" t="s">
        <v>2301</v>
      </c>
      <c r="B10" s="18" t="s">
        <v>2302</v>
      </c>
      <c r="C10" s="18" t="s">
        <v>992</v>
      </c>
      <c r="D10" s="18" t="s">
        <v>2287</v>
      </c>
      <c r="E10" s="87" t="s">
        <v>2096</v>
      </c>
      <c r="F10" s="18" t="s">
        <v>2303</v>
      </c>
      <c r="G10" s="18" t="s">
        <v>173</v>
      </c>
      <c r="H10" s="19" t="s">
        <v>2282</v>
      </c>
      <c r="I10" s="23" t="s">
        <v>2304</v>
      </c>
      <c r="J10" s="18" t="s">
        <v>1318</v>
      </c>
      <c r="K10" s="18" t="s">
        <v>2305</v>
      </c>
    </row>
    <row r="11" spans="1:11">
      <c r="A11" s="15" t="s">
        <v>2306</v>
      </c>
      <c r="B11" s="15" t="s">
        <v>2307</v>
      </c>
      <c r="C11" s="15" t="s">
        <v>2227</v>
      </c>
      <c r="D11" s="15" t="s">
        <v>2308</v>
      </c>
      <c r="E11" s="87" t="s">
        <v>2096</v>
      </c>
      <c r="F11" s="15" t="s">
        <v>2309</v>
      </c>
      <c r="G11" s="15" t="s">
        <v>173</v>
      </c>
      <c r="H11" s="16" t="s">
        <v>2310</v>
      </c>
      <c r="I11" s="21" t="s">
        <v>2311</v>
      </c>
      <c r="J11" s="15" t="s">
        <v>1276</v>
      </c>
      <c r="K11" s="15" t="s">
        <v>2312</v>
      </c>
    </row>
    <row r="12" spans="1:11">
      <c r="A12" s="18" t="s">
        <v>2313</v>
      </c>
      <c r="B12" s="18" t="s">
        <v>2314</v>
      </c>
      <c r="C12" s="18" t="s">
        <v>2150</v>
      </c>
      <c r="D12" s="18" t="s">
        <v>2287</v>
      </c>
      <c r="E12" s="87" t="s">
        <v>2096</v>
      </c>
      <c r="F12" s="18" t="s">
        <v>2315</v>
      </c>
      <c r="G12" s="18" t="s">
        <v>173</v>
      </c>
      <c r="H12" s="19" t="s">
        <v>2282</v>
      </c>
      <c r="I12" s="23" t="s">
        <v>2316</v>
      </c>
      <c r="J12" s="18" t="s">
        <v>1185</v>
      </c>
      <c r="K12" s="18" t="s">
        <v>2317</v>
      </c>
    </row>
    <row r="13" spans="1:11">
      <c r="A13" s="15" t="s">
        <v>2318</v>
      </c>
      <c r="B13" s="15" t="s">
        <v>2319</v>
      </c>
      <c r="C13" s="15" t="s">
        <v>674</v>
      </c>
      <c r="D13" s="15" t="s">
        <v>2320</v>
      </c>
      <c r="E13" s="87" t="s">
        <v>2096</v>
      </c>
      <c r="F13" s="15" t="s">
        <v>2321</v>
      </c>
      <c r="G13" s="15" t="s">
        <v>173</v>
      </c>
      <c r="H13" s="16" t="s">
        <v>2310</v>
      </c>
      <c r="I13" s="21" t="s">
        <v>2322</v>
      </c>
      <c r="J13" s="15" t="s">
        <v>1185</v>
      </c>
      <c r="K13" s="15" t="s">
        <v>2323</v>
      </c>
    </row>
    <row r="14" spans="1:11">
      <c r="A14" s="18" t="s">
        <v>2324</v>
      </c>
      <c r="B14" s="18" t="s">
        <v>2325</v>
      </c>
      <c r="C14" s="18" t="s">
        <v>674</v>
      </c>
      <c r="D14" s="18" t="s">
        <v>2326</v>
      </c>
      <c r="E14" s="26" t="s">
        <v>2126</v>
      </c>
      <c r="F14" s="18" t="s">
        <v>2327</v>
      </c>
      <c r="G14" s="18" t="s">
        <v>173</v>
      </c>
      <c r="H14" s="19" t="s">
        <v>2328</v>
      </c>
      <c r="I14" s="23" t="s">
        <v>2329</v>
      </c>
      <c r="J14" s="18" t="s">
        <v>1185</v>
      </c>
      <c r="K14" s="18" t="s">
        <v>2330</v>
      </c>
    </row>
    <row r="15" spans="1:11">
      <c r="A15" s="15" t="s">
        <v>2331</v>
      </c>
      <c r="B15" s="15" t="s">
        <v>2332</v>
      </c>
      <c r="C15" s="15" t="s">
        <v>674</v>
      </c>
      <c r="D15" s="15" t="s">
        <v>2333</v>
      </c>
      <c r="E15" s="87" t="s">
        <v>2096</v>
      </c>
      <c r="F15" s="15" t="s">
        <v>2334</v>
      </c>
      <c r="G15" s="15" t="s">
        <v>173</v>
      </c>
      <c r="H15" s="16" t="s">
        <v>2282</v>
      </c>
      <c r="I15" s="21" t="s">
        <v>2335</v>
      </c>
      <c r="J15" s="15" t="s">
        <v>1185</v>
      </c>
      <c r="K15" s="15" t="s">
        <v>2336</v>
      </c>
    </row>
    <row r="16" spans="1:11">
      <c r="A16" s="18" t="s">
        <v>2337</v>
      </c>
      <c r="B16" s="18" t="s">
        <v>2338</v>
      </c>
      <c r="C16" s="18" t="s">
        <v>2339</v>
      </c>
      <c r="D16" s="18" t="s">
        <v>2340</v>
      </c>
      <c r="E16" s="26" t="s">
        <v>2126</v>
      </c>
      <c r="F16" s="18" t="s">
        <v>1672</v>
      </c>
      <c r="G16" s="18" t="s">
        <v>24</v>
      </c>
      <c r="H16" s="19" t="s">
        <v>2341</v>
      </c>
      <c r="I16" s="23" t="s">
        <v>2342</v>
      </c>
      <c r="J16" s="18" t="s">
        <v>1329</v>
      </c>
      <c r="K16" s="18" t="s">
        <v>2343</v>
      </c>
    </row>
  </sheetData>
  <mergeCells count="2">
    <mergeCell ref="A1:K1"/>
    <mergeCell ref="A2:K2"/>
  </mergeCells>
  <pageMargins left="0.7" right="0.7" top="0.75" bottom="0.75" header="0.3" footer="0.3"/>
  <pageSetup orientation="portrait"/>
  <headerFooter>
    <oddHeader>&amp;L&amp;C&amp;R</oddHeader>
    <oddFooter>&amp;L&amp;C&amp;R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826F8-0158-E3C8-E338-8C648B4219B8}">
  <dimension ref="A1:K15"/>
  <sheetViews>
    <sheetView workbookViewId="0">
      <pane ySplit="4" topLeftCell="A5" activePane="bottomLeft" state="frozen"/>
      <selection pane="bottomLeft" sqref="A1:K1"/>
    </sheetView>
  </sheetViews>
  <sheetFormatPr defaultColWidth="8.85546875" defaultRowHeight="15" customHeight="1"/>
  <cols>
    <col min="1" max="1" width="39.140625" bestFit="1" customWidth="1"/>
    <col min="2" max="2" width="88.42578125" bestFit="1" customWidth="1"/>
    <col min="3" max="3" width="16.28515625" bestFit="1" customWidth="1"/>
    <col min="4" max="4" width="22.42578125" bestFit="1" customWidth="1"/>
    <col min="5" max="5" width="21.7109375" bestFit="1" customWidth="1"/>
    <col min="6" max="6" width="39.85546875" bestFit="1" customWidth="1"/>
    <col min="7" max="7" width="13.5703125" bestFit="1" customWidth="1"/>
    <col min="8" max="8" width="22.42578125" bestFit="1" customWidth="1"/>
    <col min="9" max="9" width="15.28515625" bestFit="1" customWidth="1"/>
    <col min="10" max="10" width="12.42578125" bestFit="1" customWidth="1"/>
    <col min="11" max="11" width="35.5703125" bestFit="1" customWidth="1"/>
  </cols>
  <sheetData>
    <row r="1" spans="1:11" ht="18.75">
      <c r="A1" s="198" t="s">
        <v>2344</v>
      </c>
      <c r="B1" s="191"/>
      <c r="C1" s="191"/>
      <c r="D1" s="191"/>
      <c r="E1" s="191"/>
      <c r="F1" s="191"/>
      <c r="G1" s="191"/>
      <c r="H1" s="191"/>
      <c r="I1" s="191"/>
      <c r="J1" s="191"/>
      <c r="K1" s="191"/>
    </row>
    <row r="2" spans="1:11">
      <c r="A2" s="248" t="s">
        <v>2345</v>
      </c>
      <c r="B2" s="191"/>
      <c r="C2" s="191"/>
      <c r="D2" s="191"/>
      <c r="E2" s="191"/>
      <c r="F2" s="191"/>
      <c r="G2" s="191"/>
      <c r="H2" s="191"/>
      <c r="I2" s="191"/>
      <c r="J2" s="191"/>
      <c r="K2" s="191"/>
    </row>
    <row r="3" spans="1:11">
      <c r="A3" s="10" t="s">
        <v>184</v>
      </c>
    </row>
    <row r="4" spans="1:11">
      <c r="A4" s="132" t="s">
        <v>2266</v>
      </c>
      <c r="B4" s="132" t="s">
        <v>2267</v>
      </c>
      <c r="C4" s="132" t="s">
        <v>2268</v>
      </c>
      <c r="D4" s="132" t="s">
        <v>2346</v>
      </c>
      <c r="E4" s="132" t="s">
        <v>2081</v>
      </c>
      <c r="F4" s="132" t="s">
        <v>823</v>
      </c>
      <c r="G4" s="132" t="s">
        <v>17</v>
      </c>
      <c r="H4" s="132" t="s">
        <v>2347</v>
      </c>
      <c r="I4" s="132" t="s">
        <v>2348</v>
      </c>
      <c r="J4" s="132" t="s">
        <v>1038</v>
      </c>
      <c r="K4" s="132" t="s">
        <v>78</v>
      </c>
    </row>
    <row r="5" spans="1:11">
      <c r="A5" s="15" t="s">
        <v>2349</v>
      </c>
      <c r="B5" s="15" t="s">
        <v>2350</v>
      </c>
      <c r="C5" s="15" t="s">
        <v>2227</v>
      </c>
      <c r="D5" s="15" t="s">
        <v>2287</v>
      </c>
      <c r="E5" s="87" t="s">
        <v>2096</v>
      </c>
      <c r="F5" s="15" t="s">
        <v>2351</v>
      </c>
      <c r="G5" s="15" t="s">
        <v>173</v>
      </c>
      <c r="H5" s="15" t="s">
        <v>23</v>
      </c>
      <c r="I5" s="21" t="s">
        <v>2342</v>
      </c>
      <c r="J5" s="15" t="s">
        <v>1276</v>
      </c>
      <c r="K5" s="15" t="s">
        <v>2352</v>
      </c>
    </row>
    <row r="6" spans="1:11">
      <c r="A6" s="18" t="s">
        <v>2353</v>
      </c>
      <c r="B6" s="18" t="s">
        <v>2354</v>
      </c>
      <c r="C6" s="18" t="s">
        <v>2150</v>
      </c>
      <c r="D6" s="18" t="s">
        <v>2287</v>
      </c>
      <c r="E6" s="87" t="s">
        <v>2096</v>
      </c>
      <c r="F6" s="18" t="s">
        <v>2355</v>
      </c>
      <c r="G6" s="18" t="s">
        <v>173</v>
      </c>
      <c r="H6" s="18" t="s">
        <v>23</v>
      </c>
      <c r="I6" s="23" t="s">
        <v>2342</v>
      </c>
      <c r="J6" s="18" t="s">
        <v>1276</v>
      </c>
      <c r="K6" s="18" t="s">
        <v>2356</v>
      </c>
    </row>
    <row r="7" spans="1:11">
      <c r="A7" s="15" t="s">
        <v>2357</v>
      </c>
      <c r="B7" s="15" t="s">
        <v>2358</v>
      </c>
      <c r="C7" s="15" t="s">
        <v>2150</v>
      </c>
      <c r="D7" s="15" t="s">
        <v>2287</v>
      </c>
      <c r="E7" s="87" t="s">
        <v>2096</v>
      </c>
      <c r="F7" s="15" t="s">
        <v>2359</v>
      </c>
      <c r="G7" s="15" t="s">
        <v>173</v>
      </c>
      <c r="H7" s="15" t="s">
        <v>30</v>
      </c>
      <c r="I7" s="21" t="s">
        <v>2360</v>
      </c>
      <c r="J7" s="15" t="s">
        <v>1276</v>
      </c>
      <c r="K7" s="15" t="s">
        <v>2361</v>
      </c>
    </row>
    <row r="8" spans="1:11">
      <c r="A8" s="18" t="s">
        <v>2362</v>
      </c>
      <c r="B8" s="18" t="s">
        <v>2363</v>
      </c>
      <c r="C8" s="18" t="s">
        <v>2150</v>
      </c>
      <c r="D8" s="18" t="s">
        <v>2364</v>
      </c>
      <c r="E8" s="87" t="s">
        <v>2096</v>
      </c>
      <c r="F8" s="18" t="s">
        <v>2365</v>
      </c>
      <c r="G8" s="18" t="s">
        <v>173</v>
      </c>
      <c r="H8" s="18" t="s">
        <v>2366</v>
      </c>
      <c r="I8" s="23" t="s">
        <v>2342</v>
      </c>
      <c r="J8" s="18" t="s">
        <v>1276</v>
      </c>
      <c r="K8" s="18" t="s">
        <v>2367</v>
      </c>
    </row>
    <row r="9" spans="1:11">
      <c r="A9" s="15" t="s">
        <v>2368</v>
      </c>
      <c r="B9" s="15" t="s">
        <v>2369</v>
      </c>
      <c r="C9" s="15" t="s">
        <v>2227</v>
      </c>
      <c r="D9" s="15" t="s">
        <v>2287</v>
      </c>
      <c r="E9" s="87" t="s">
        <v>2096</v>
      </c>
      <c r="F9" s="15" t="s">
        <v>2370</v>
      </c>
      <c r="G9" s="15" t="s">
        <v>173</v>
      </c>
      <c r="H9" s="15" t="s">
        <v>23</v>
      </c>
      <c r="I9" s="21" t="s">
        <v>2342</v>
      </c>
      <c r="J9" s="15" t="s">
        <v>1276</v>
      </c>
      <c r="K9" s="15" t="s">
        <v>2371</v>
      </c>
    </row>
    <row r="10" spans="1:11">
      <c r="A10" s="18" t="s">
        <v>2372</v>
      </c>
      <c r="B10" s="18" t="s">
        <v>2373</v>
      </c>
      <c r="C10" s="18" t="s">
        <v>2227</v>
      </c>
      <c r="D10" s="18" t="s">
        <v>2374</v>
      </c>
      <c r="E10" s="87" t="s">
        <v>2096</v>
      </c>
      <c r="F10" s="18" t="s">
        <v>2375</v>
      </c>
      <c r="G10" s="18" t="s">
        <v>173</v>
      </c>
      <c r="H10" s="18" t="s">
        <v>57</v>
      </c>
      <c r="I10" s="18" t="s">
        <v>943</v>
      </c>
      <c r="J10" s="18" t="s">
        <v>1276</v>
      </c>
      <c r="K10" s="18" t="s">
        <v>2376</v>
      </c>
    </row>
    <row r="11" spans="1:11">
      <c r="A11" s="15" t="s">
        <v>2377</v>
      </c>
      <c r="B11" s="15" t="s">
        <v>2378</v>
      </c>
      <c r="C11" s="15" t="s">
        <v>2227</v>
      </c>
      <c r="D11" s="15" t="s">
        <v>2379</v>
      </c>
      <c r="E11" s="87" t="s">
        <v>2096</v>
      </c>
      <c r="F11" s="15" t="s">
        <v>2351</v>
      </c>
      <c r="G11" s="15" t="s">
        <v>173</v>
      </c>
      <c r="H11" s="15" t="s">
        <v>23</v>
      </c>
      <c r="I11" s="21" t="s">
        <v>2342</v>
      </c>
      <c r="J11" s="15" t="s">
        <v>1276</v>
      </c>
      <c r="K11" s="15" t="s">
        <v>2380</v>
      </c>
    </row>
    <row r="12" spans="1:11">
      <c r="A12" s="18" t="s">
        <v>2381</v>
      </c>
      <c r="B12" s="18" t="s">
        <v>2382</v>
      </c>
      <c r="C12" s="18" t="s">
        <v>2227</v>
      </c>
      <c r="D12" s="18" t="s">
        <v>2383</v>
      </c>
      <c r="E12" s="87" t="s">
        <v>2096</v>
      </c>
      <c r="F12" s="18" t="s">
        <v>2384</v>
      </c>
      <c r="G12" s="18" t="s">
        <v>173</v>
      </c>
      <c r="H12" s="18" t="s">
        <v>30</v>
      </c>
      <c r="I12" s="23" t="s">
        <v>2283</v>
      </c>
      <c r="J12" s="18" t="s">
        <v>1276</v>
      </c>
      <c r="K12" s="18" t="s">
        <v>2385</v>
      </c>
    </row>
    <row r="13" spans="1:11">
      <c r="A13" s="15" t="s">
        <v>2386</v>
      </c>
      <c r="B13" s="15" t="s">
        <v>2387</v>
      </c>
      <c r="C13" s="15" t="s">
        <v>2150</v>
      </c>
      <c r="D13" s="15" t="s">
        <v>2287</v>
      </c>
      <c r="E13" s="87" t="s">
        <v>2096</v>
      </c>
      <c r="F13" s="15" t="s">
        <v>2388</v>
      </c>
      <c r="G13" s="15" t="s">
        <v>173</v>
      </c>
      <c r="H13" s="15" t="s">
        <v>57</v>
      </c>
      <c r="I13" s="21" t="s">
        <v>2335</v>
      </c>
      <c r="J13" s="15" t="s">
        <v>1276</v>
      </c>
      <c r="K13" s="15" t="s">
        <v>2389</v>
      </c>
    </row>
    <row r="14" spans="1:11">
      <c r="A14" s="18" t="s">
        <v>2390</v>
      </c>
      <c r="B14" s="18" t="s">
        <v>2391</v>
      </c>
      <c r="C14" s="18" t="s">
        <v>2392</v>
      </c>
      <c r="D14" s="18" t="s">
        <v>2393</v>
      </c>
      <c r="E14" s="26" t="s">
        <v>2126</v>
      </c>
      <c r="F14" s="18" t="s">
        <v>2394</v>
      </c>
      <c r="G14" s="18" t="s">
        <v>150</v>
      </c>
      <c r="H14" s="18" t="s">
        <v>23</v>
      </c>
      <c r="I14" s="23" t="s">
        <v>2395</v>
      </c>
      <c r="J14" s="18" t="s">
        <v>1230</v>
      </c>
      <c r="K14" s="18" t="s">
        <v>2396</v>
      </c>
    </row>
    <row r="15" spans="1:11">
      <c r="A15" s="15" t="s">
        <v>2397</v>
      </c>
      <c r="B15" s="15" t="s">
        <v>2398</v>
      </c>
      <c r="C15" s="15" t="s">
        <v>2227</v>
      </c>
      <c r="D15" s="15" t="s">
        <v>2287</v>
      </c>
      <c r="E15" s="87" t="s">
        <v>2096</v>
      </c>
      <c r="F15" s="15" t="s">
        <v>2399</v>
      </c>
      <c r="G15" s="15" t="s">
        <v>173</v>
      </c>
      <c r="H15" s="15" t="s">
        <v>23</v>
      </c>
      <c r="I15" s="21" t="s">
        <v>2400</v>
      </c>
      <c r="J15" s="15" t="s">
        <v>1276</v>
      </c>
      <c r="K15" s="15" t="s">
        <v>2401</v>
      </c>
    </row>
  </sheetData>
  <mergeCells count="2">
    <mergeCell ref="A1:K1"/>
    <mergeCell ref="A2:K2"/>
  </mergeCells>
  <pageMargins left="0.7" right="0.7" top="0.75" bottom="0.75" header="0.3" footer="0.3"/>
  <pageSetup orientation="portrait"/>
  <headerFooter>
    <oddHeader>&amp;L&amp;C&amp;R</oddHeader>
    <oddFooter>&amp;L&amp;C&amp;R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61E2F-1996-1128-1F94-5EB84BED892E}">
  <dimension ref="A1:N15"/>
  <sheetViews>
    <sheetView workbookViewId="0">
      <pane ySplit="4" topLeftCell="A5" activePane="bottomLeft" state="frozen"/>
      <selection pane="bottomLeft" sqref="A1:K1"/>
    </sheetView>
  </sheetViews>
  <sheetFormatPr defaultColWidth="8.85546875" defaultRowHeight="15" customHeight="1"/>
  <cols>
    <col min="1" max="1" width="16" bestFit="1" customWidth="1"/>
    <col min="2" max="2" width="62.28515625" bestFit="1" customWidth="1"/>
    <col min="3" max="3" width="30.5703125" bestFit="1" customWidth="1"/>
    <col min="4" max="4" width="6.5703125" bestFit="1" customWidth="1"/>
    <col min="5" max="5" width="14.42578125" bestFit="1" customWidth="1"/>
    <col min="6" max="6" width="9" bestFit="1" customWidth="1"/>
    <col min="7" max="7" width="7.85546875" bestFit="1" customWidth="1"/>
    <col min="8" max="8" width="16.7109375" bestFit="1" customWidth="1"/>
    <col min="9" max="9" width="8.5703125" bestFit="1" customWidth="1"/>
    <col min="10" max="10" width="47.7109375" bestFit="1" customWidth="1"/>
    <col min="11" max="11" width="46.85546875" bestFit="1" customWidth="1"/>
    <col min="13" max="13" width="11.5703125" bestFit="1" customWidth="1"/>
    <col min="14" max="14" width="3" bestFit="1" customWidth="1"/>
  </cols>
  <sheetData>
    <row r="1" spans="1:14" ht="18.75">
      <c r="A1" s="198" t="s">
        <v>2402</v>
      </c>
      <c r="B1" s="191"/>
      <c r="C1" s="191"/>
      <c r="D1" s="191"/>
      <c r="E1" s="191"/>
      <c r="F1" s="191"/>
      <c r="G1" s="191"/>
      <c r="H1" s="191"/>
      <c r="I1" s="191"/>
      <c r="J1" s="191"/>
      <c r="K1" s="191"/>
    </row>
    <row r="2" spans="1:14">
      <c r="A2" s="243" t="s">
        <v>2403</v>
      </c>
      <c r="B2" s="191"/>
      <c r="C2" s="191"/>
      <c r="D2" s="191"/>
      <c r="E2" s="191"/>
      <c r="F2" s="191"/>
      <c r="G2" s="191"/>
      <c r="H2" s="191"/>
      <c r="I2" s="191"/>
      <c r="J2" s="191"/>
      <c r="K2" s="191"/>
    </row>
    <row r="3" spans="1:14">
      <c r="A3" s="10" t="s">
        <v>184</v>
      </c>
      <c r="B3" s="11" t="s">
        <v>185</v>
      </c>
    </row>
    <row r="4" spans="1:14">
      <c r="A4" s="81" t="s">
        <v>2404</v>
      </c>
      <c r="B4" s="81" t="s">
        <v>2405</v>
      </c>
      <c r="C4" s="81" t="s">
        <v>2406</v>
      </c>
      <c r="D4" s="81" t="s">
        <v>303</v>
      </c>
      <c r="E4" s="81" t="s">
        <v>2407</v>
      </c>
      <c r="F4" s="81" t="s">
        <v>1764</v>
      </c>
      <c r="G4" s="81" t="s">
        <v>277</v>
      </c>
      <c r="H4" s="81" t="s">
        <v>17</v>
      </c>
      <c r="I4" s="81" t="s">
        <v>16</v>
      </c>
      <c r="J4" s="81" t="s">
        <v>2408</v>
      </c>
      <c r="K4" s="81" t="s">
        <v>78</v>
      </c>
      <c r="M4" s="244" t="s">
        <v>2409</v>
      </c>
      <c r="N4" s="191"/>
    </row>
    <row r="5" spans="1:14">
      <c r="A5" s="81" t="s">
        <v>939</v>
      </c>
      <c r="B5" s="81" t="s">
        <v>2410</v>
      </c>
      <c r="C5" s="81" t="s">
        <v>706</v>
      </c>
      <c r="D5" s="81">
        <v>0.95</v>
      </c>
      <c r="E5" s="81">
        <v>0.97</v>
      </c>
      <c r="F5" s="96" t="s">
        <v>1771</v>
      </c>
      <c r="G5" s="133" t="str">
        <f t="shared" ref="G5:G15" si="0">IF(E5&gt;=D5,"On Track",IF(E5&gt;=D5*0.9,"At Risk","Off Track"))</f>
        <v>On Track</v>
      </c>
      <c r="H5" s="81" t="s">
        <v>181</v>
      </c>
      <c r="I5" s="81" t="s">
        <v>42</v>
      </c>
      <c r="J5" s="81" t="s">
        <v>2412</v>
      </c>
      <c r="K5" s="81" t="s">
        <v>2413</v>
      </c>
      <c r="M5" s="97" t="s">
        <v>2414</v>
      </c>
      <c r="N5" s="98">
        <f>COUNTA(A5:A15)</f>
        <v>11</v>
      </c>
    </row>
    <row r="6" spans="1:14">
      <c r="A6" s="81" t="s">
        <v>1195</v>
      </c>
      <c r="B6" s="81" t="s">
        <v>2415</v>
      </c>
      <c r="C6" s="81" t="s">
        <v>1050</v>
      </c>
      <c r="D6" s="81">
        <v>0.98</v>
      </c>
      <c r="E6" s="81">
        <v>0.96</v>
      </c>
      <c r="F6" s="106" t="s">
        <v>882</v>
      </c>
      <c r="G6" s="100" t="str">
        <f t="shared" si="0"/>
        <v>At Risk</v>
      </c>
      <c r="H6" s="81" t="s">
        <v>68</v>
      </c>
      <c r="I6" s="81" t="s">
        <v>42</v>
      </c>
      <c r="J6" s="81" t="s">
        <v>2417</v>
      </c>
      <c r="K6" s="81" t="s">
        <v>2418</v>
      </c>
      <c r="M6" s="97" t="s">
        <v>2411</v>
      </c>
      <c r="N6" s="98">
        <f>COUNTIF(G5:G15,"On Track")</f>
        <v>8</v>
      </c>
    </row>
    <row r="7" spans="1:14">
      <c r="A7" s="81" t="s">
        <v>2419</v>
      </c>
      <c r="B7" s="81" t="s">
        <v>2420</v>
      </c>
      <c r="C7" s="81" t="s">
        <v>2421</v>
      </c>
      <c r="D7" s="81">
        <v>0.995</v>
      </c>
      <c r="E7" s="81">
        <v>0.997</v>
      </c>
      <c r="F7" s="106" t="s">
        <v>882</v>
      </c>
      <c r="G7" s="133" t="str">
        <f>IF(E7&gt;=D7,"On Track",IF(E7&gt;=D7*0.99,"At Risk","Off Track"))</f>
        <v>On Track</v>
      </c>
      <c r="H7" s="81" t="s">
        <v>68</v>
      </c>
      <c r="I7" s="81" t="s">
        <v>1374</v>
      </c>
      <c r="J7" s="81" t="s">
        <v>2422</v>
      </c>
      <c r="K7" s="81" t="s">
        <v>882</v>
      </c>
      <c r="M7" s="97" t="s">
        <v>2416</v>
      </c>
      <c r="N7" s="98">
        <f>COUNTIF(G5:G15,"At Risk")</f>
        <v>2</v>
      </c>
    </row>
    <row r="8" spans="1:14">
      <c r="A8" s="81" t="s">
        <v>1095</v>
      </c>
      <c r="B8" s="81" t="s">
        <v>2423</v>
      </c>
      <c r="C8" s="81" t="s">
        <v>2424</v>
      </c>
      <c r="D8" s="81">
        <v>0.9</v>
      </c>
      <c r="E8" s="81">
        <v>0.92</v>
      </c>
      <c r="F8" s="96" t="s">
        <v>1771</v>
      </c>
      <c r="G8" s="133" t="str">
        <f t="shared" ref="G8:G13" si="1">IF(E8&gt;=D8,"On Track",IF(E8&gt;=D8*0.95,"At Risk","Off Track"))</f>
        <v>On Track</v>
      </c>
      <c r="H8" s="81" t="s">
        <v>269</v>
      </c>
      <c r="I8" s="81" t="s">
        <v>42</v>
      </c>
      <c r="J8" s="81" t="s">
        <v>2425</v>
      </c>
      <c r="K8" s="81" t="s">
        <v>2426</v>
      </c>
      <c r="M8" s="97" t="s">
        <v>2427</v>
      </c>
      <c r="N8" s="98">
        <f>COUNTIF(G5:G15,"Off Track")</f>
        <v>1</v>
      </c>
    </row>
    <row r="9" spans="1:14">
      <c r="A9" s="81" t="s">
        <v>2428</v>
      </c>
      <c r="B9" s="81" t="s">
        <v>2429</v>
      </c>
      <c r="C9" s="81" t="s">
        <v>2122</v>
      </c>
      <c r="D9" s="81">
        <v>0.95</v>
      </c>
      <c r="E9" s="81">
        <v>0.93</v>
      </c>
      <c r="F9" s="106" t="s">
        <v>882</v>
      </c>
      <c r="G9" s="100" t="str">
        <f t="shared" si="1"/>
        <v>At Risk</v>
      </c>
      <c r="H9" s="81" t="s">
        <v>150</v>
      </c>
      <c r="I9" s="81" t="s">
        <v>42</v>
      </c>
      <c r="J9" s="81" t="s">
        <v>2430</v>
      </c>
      <c r="K9" s="81" t="s">
        <v>2431</v>
      </c>
      <c r="M9" s="97" t="s">
        <v>1771</v>
      </c>
      <c r="N9" s="98">
        <f>COUNTIF(F5:F15,"Improving")</f>
        <v>5</v>
      </c>
    </row>
    <row r="10" spans="1:14">
      <c r="A10" s="81" t="s">
        <v>978</v>
      </c>
      <c r="B10" s="81" t="s">
        <v>2432</v>
      </c>
      <c r="C10" s="81" t="s">
        <v>729</v>
      </c>
      <c r="D10" s="81">
        <v>15</v>
      </c>
      <c r="E10" s="81">
        <v>12</v>
      </c>
      <c r="F10" s="96" t="s">
        <v>1771</v>
      </c>
      <c r="G10" s="133" t="str">
        <f>IF(E10&lt;=D10,"On Track",IF(E10&lt;=D10*1.2,"At Risk","Off Track"))</f>
        <v>On Track</v>
      </c>
      <c r="H10" s="81" t="s">
        <v>173</v>
      </c>
      <c r="I10" s="81" t="s">
        <v>1374</v>
      </c>
      <c r="J10" s="81" t="s">
        <v>2433</v>
      </c>
      <c r="K10" s="81" t="s">
        <v>2434</v>
      </c>
      <c r="M10" s="97" t="s">
        <v>1800</v>
      </c>
      <c r="N10" s="98">
        <f>COUNTIF(F5:F15,"Deteriorating")</f>
        <v>0</v>
      </c>
    </row>
    <row r="11" spans="1:14">
      <c r="A11" s="81" t="s">
        <v>965</v>
      </c>
      <c r="B11" s="81" t="s">
        <v>2435</v>
      </c>
      <c r="C11" s="81" t="s">
        <v>718</v>
      </c>
      <c r="D11" s="81">
        <v>1</v>
      </c>
      <c r="E11" s="81">
        <v>0.94</v>
      </c>
      <c r="F11" s="106" t="s">
        <v>882</v>
      </c>
      <c r="G11" s="103" t="str">
        <f t="shared" si="1"/>
        <v>Off Track</v>
      </c>
      <c r="H11" s="81" t="s">
        <v>24</v>
      </c>
      <c r="I11" s="81" t="s">
        <v>42</v>
      </c>
      <c r="J11" s="81" t="s">
        <v>2436</v>
      </c>
      <c r="K11" s="81" t="s">
        <v>2437</v>
      </c>
    </row>
    <row r="12" spans="1:14">
      <c r="A12" s="81" t="s">
        <v>1128</v>
      </c>
      <c r="B12" s="81" t="s">
        <v>2438</v>
      </c>
      <c r="C12" s="81" t="s">
        <v>2135</v>
      </c>
      <c r="D12" s="81">
        <v>0.04</v>
      </c>
      <c r="E12" s="81">
        <v>0.03</v>
      </c>
      <c r="F12" s="106" t="s">
        <v>882</v>
      </c>
      <c r="G12" s="133" t="str">
        <f t="shared" ref="G12:G14" si="2">IF(E12&lt;=D12,"On Track",IF(E12&lt;=D12*1.25,"At Risk","Off Track"))</f>
        <v>On Track</v>
      </c>
      <c r="H12" s="81" t="s">
        <v>68</v>
      </c>
      <c r="I12" s="81" t="s">
        <v>42</v>
      </c>
      <c r="J12" s="81" t="s">
        <v>2439</v>
      </c>
      <c r="K12" s="81" t="s">
        <v>2440</v>
      </c>
    </row>
    <row r="13" spans="1:14">
      <c r="A13" s="81" t="s">
        <v>2441</v>
      </c>
      <c r="B13" s="81" t="s">
        <v>2442</v>
      </c>
      <c r="C13" s="81" t="s">
        <v>1072</v>
      </c>
      <c r="D13" s="81">
        <v>0.98</v>
      </c>
      <c r="E13" s="81">
        <v>0.98499999999999999</v>
      </c>
      <c r="F13" s="96" t="s">
        <v>1771</v>
      </c>
      <c r="G13" s="133" t="str">
        <f t="shared" si="1"/>
        <v>On Track</v>
      </c>
      <c r="H13" s="81" t="s">
        <v>299</v>
      </c>
      <c r="I13" s="81" t="s">
        <v>1374</v>
      </c>
      <c r="J13" s="81" t="s">
        <v>2443</v>
      </c>
      <c r="K13" s="81" t="s">
        <v>2444</v>
      </c>
    </row>
    <row r="14" spans="1:14">
      <c r="A14" s="81" t="s">
        <v>1227</v>
      </c>
      <c r="B14" s="81" t="s">
        <v>2445</v>
      </c>
      <c r="C14" s="81" t="s">
        <v>2122</v>
      </c>
      <c r="D14" s="81">
        <v>0.5</v>
      </c>
      <c r="E14" s="81">
        <v>0.4</v>
      </c>
      <c r="F14" s="96" t="s">
        <v>1771</v>
      </c>
      <c r="G14" s="133" t="str">
        <f t="shared" si="2"/>
        <v>On Track</v>
      </c>
      <c r="H14" s="81" t="s">
        <v>150</v>
      </c>
      <c r="I14" s="81" t="s">
        <v>42</v>
      </c>
      <c r="J14" s="81" t="s">
        <v>2446</v>
      </c>
      <c r="K14" s="81" t="s">
        <v>2447</v>
      </c>
    </row>
    <row r="15" spans="1:14">
      <c r="A15" s="81" t="s">
        <v>1145</v>
      </c>
      <c r="B15" s="81" t="s">
        <v>2448</v>
      </c>
      <c r="C15" s="81" t="s">
        <v>2449</v>
      </c>
      <c r="D15" s="81">
        <v>0.7</v>
      </c>
      <c r="E15" s="81">
        <v>0.73</v>
      </c>
      <c r="F15" s="106" t="s">
        <v>882</v>
      </c>
      <c r="G15" s="133" t="str">
        <f t="shared" si="0"/>
        <v>On Track</v>
      </c>
      <c r="H15" s="81" t="s">
        <v>173</v>
      </c>
      <c r="I15" s="81" t="s">
        <v>42</v>
      </c>
      <c r="J15" s="81" t="s">
        <v>2450</v>
      </c>
      <c r="K15" s="81" t="s">
        <v>2451</v>
      </c>
    </row>
  </sheetData>
  <mergeCells count="3">
    <mergeCell ref="A1:K1"/>
    <mergeCell ref="A2:K2"/>
    <mergeCell ref="M4:N4"/>
  </mergeCells>
  <pageMargins left="0.7" right="0.7" top="0.75" bottom="0.75" header="0.3" footer="0.3"/>
  <pageSetup orientation="portrait"/>
  <headerFooter>
    <oddHeader>&amp;L&amp;C&amp;R</oddHeader>
    <oddFooter>&amp;L&amp;C&amp;R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115D8-9478-DE82-FB88-782CCA9531D8}">
  <dimension ref="A1:N13"/>
  <sheetViews>
    <sheetView workbookViewId="0">
      <pane ySplit="4" topLeftCell="A5" activePane="bottomLeft" state="frozen"/>
      <selection pane="bottomLeft" sqref="A1:K1"/>
    </sheetView>
  </sheetViews>
  <sheetFormatPr defaultColWidth="8.85546875" defaultRowHeight="15" customHeight="1"/>
  <cols>
    <col min="1" max="1" width="16" bestFit="1" customWidth="1"/>
    <col min="2" max="2" width="24.140625" bestFit="1" customWidth="1"/>
    <col min="3" max="3" width="71.140625" bestFit="1" customWidth="1"/>
    <col min="4" max="4" width="20.7109375" bestFit="1" customWidth="1"/>
    <col min="5" max="5" width="12.85546875" bestFit="1" customWidth="1"/>
    <col min="6" max="6" width="19.5703125" bestFit="1" customWidth="1"/>
    <col min="7" max="7" width="11.7109375" bestFit="1" customWidth="1"/>
    <col min="8" max="8" width="4.5703125" bestFit="1" customWidth="1"/>
    <col min="9" max="9" width="101.28515625" bestFit="1" customWidth="1"/>
    <col min="10" max="10" width="19" bestFit="1" customWidth="1"/>
    <col min="11" max="11" width="15.5703125" bestFit="1" customWidth="1"/>
    <col min="13" max="13" width="23.140625" bestFit="1" customWidth="1"/>
    <col min="14" max="14" width="6.7109375" bestFit="1" customWidth="1"/>
  </cols>
  <sheetData>
    <row r="1" spans="1:14" ht="18.75">
      <c r="A1" s="198" t="s">
        <v>2452</v>
      </c>
      <c r="B1" s="191"/>
      <c r="C1" s="191"/>
      <c r="D1" s="191"/>
      <c r="E1" s="191"/>
      <c r="F1" s="191"/>
      <c r="G1" s="191"/>
      <c r="H1" s="191"/>
      <c r="I1" s="191"/>
      <c r="J1" s="191"/>
      <c r="K1" s="191"/>
    </row>
    <row r="2" spans="1:14">
      <c r="A2" s="248" t="s">
        <v>2453</v>
      </c>
      <c r="B2" s="191"/>
      <c r="C2" s="191"/>
      <c r="D2" s="191"/>
      <c r="E2" s="191"/>
      <c r="F2" s="191"/>
      <c r="G2" s="191"/>
      <c r="H2" s="191"/>
      <c r="I2" s="191"/>
      <c r="J2" s="191"/>
      <c r="K2" s="191"/>
    </row>
    <row r="3" spans="1:14">
      <c r="A3" s="10" t="s">
        <v>184</v>
      </c>
      <c r="B3" s="11" t="s">
        <v>185</v>
      </c>
    </row>
    <row r="4" spans="1:14">
      <c r="A4" s="66" t="s">
        <v>2454</v>
      </c>
      <c r="B4" s="66" t="s">
        <v>301</v>
      </c>
      <c r="C4" s="66" t="s">
        <v>410</v>
      </c>
      <c r="D4" s="66" t="s">
        <v>2455</v>
      </c>
      <c r="E4" s="66" t="s">
        <v>2456</v>
      </c>
      <c r="F4" s="66" t="s">
        <v>2457</v>
      </c>
      <c r="G4" s="66" t="s">
        <v>2458</v>
      </c>
      <c r="H4" s="66" t="s">
        <v>304</v>
      </c>
      <c r="I4" s="66" t="s">
        <v>2459</v>
      </c>
      <c r="J4" s="66" t="s">
        <v>1036</v>
      </c>
      <c r="K4" s="66" t="s">
        <v>17</v>
      </c>
      <c r="M4" s="249" t="s">
        <v>2460</v>
      </c>
      <c r="N4" s="191"/>
    </row>
    <row r="5" spans="1:14">
      <c r="A5" s="15" t="s">
        <v>707</v>
      </c>
      <c r="B5" s="15" t="s">
        <v>704</v>
      </c>
      <c r="C5" s="15" t="s">
        <v>2461</v>
      </c>
      <c r="D5" s="24">
        <v>4</v>
      </c>
      <c r="E5" s="16" t="str">
        <f t="shared" ref="E5:G13" si="0">CHOOSE(D5,"Initial","Developing","Defined","Managed","Optimised")</f>
        <v>Managed</v>
      </c>
      <c r="F5" s="25">
        <v>5</v>
      </c>
      <c r="G5" s="16" t="str">
        <f t="shared" si="0"/>
        <v>Optimised</v>
      </c>
      <c r="H5" s="134">
        <f t="shared" ref="H5:H13" si="1">F5-D5</f>
        <v>1</v>
      </c>
      <c r="I5" s="15" t="s">
        <v>2464</v>
      </c>
      <c r="J5" s="15" t="s">
        <v>2465</v>
      </c>
      <c r="K5" s="15" t="s">
        <v>284</v>
      </c>
      <c r="M5" s="135" t="s">
        <v>2466</v>
      </c>
      <c r="N5" s="46">
        <f>COUNTA(A5:A13)</f>
        <v>9</v>
      </c>
    </row>
    <row r="6" spans="1:14">
      <c r="A6" s="18" t="s">
        <v>713</v>
      </c>
      <c r="B6" s="18" t="s">
        <v>956</v>
      </c>
      <c r="C6" s="18" t="s">
        <v>2467</v>
      </c>
      <c r="D6" s="26">
        <v>3</v>
      </c>
      <c r="E6" s="19" t="str">
        <f t="shared" si="0"/>
        <v>Defined</v>
      </c>
      <c r="F6" s="24">
        <v>4</v>
      </c>
      <c r="G6" s="19" t="str">
        <f t="shared" si="0"/>
        <v>Managed</v>
      </c>
      <c r="H6" s="134">
        <f t="shared" si="1"/>
        <v>1</v>
      </c>
      <c r="I6" s="18" t="s">
        <v>2469</v>
      </c>
      <c r="J6" s="18" t="s">
        <v>530</v>
      </c>
      <c r="K6" s="18" t="s">
        <v>37</v>
      </c>
      <c r="M6" s="135" t="s">
        <v>2470</v>
      </c>
      <c r="N6" s="136">
        <f>AVERAGE(D5:D13)</f>
        <v>3.2222222222222223</v>
      </c>
    </row>
    <row r="7" spans="1:14">
      <c r="A7" s="15" t="s">
        <v>730</v>
      </c>
      <c r="B7" s="15" t="s">
        <v>2471</v>
      </c>
      <c r="C7" s="15" t="s">
        <v>2472</v>
      </c>
      <c r="D7" s="24">
        <v>4</v>
      </c>
      <c r="E7" s="16" t="str">
        <f t="shared" si="0"/>
        <v>Managed</v>
      </c>
      <c r="F7" s="25">
        <v>5</v>
      </c>
      <c r="G7" s="16" t="str">
        <f t="shared" si="0"/>
        <v>Optimised</v>
      </c>
      <c r="H7" s="134">
        <f t="shared" si="1"/>
        <v>1</v>
      </c>
      <c r="I7" s="15" t="s">
        <v>2473</v>
      </c>
      <c r="J7" s="15" t="s">
        <v>536</v>
      </c>
      <c r="K7" s="15" t="s">
        <v>173</v>
      </c>
      <c r="M7" s="135" t="s">
        <v>2474</v>
      </c>
      <c r="N7" s="136">
        <f>AVERAGE(F5:F13)</f>
        <v>4.2222222222222223</v>
      </c>
    </row>
    <row r="8" spans="1:14">
      <c r="A8" s="18" t="s">
        <v>735</v>
      </c>
      <c r="B8" s="18" t="s">
        <v>732</v>
      </c>
      <c r="C8" s="18" t="s">
        <v>2475</v>
      </c>
      <c r="D8" s="26">
        <v>3</v>
      </c>
      <c r="E8" s="19" t="str">
        <f t="shared" si="0"/>
        <v>Defined</v>
      </c>
      <c r="F8" s="24">
        <v>4</v>
      </c>
      <c r="G8" s="19" t="str">
        <f t="shared" si="0"/>
        <v>Managed</v>
      </c>
      <c r="H8" s="134">
        <f t="shared" si="1"/>
        <v>1</v>
      </c>
      <c r="I8" s="18" t="s">
        <v>2476</v>
      </c>
      <c r="J8" s="18" t="s">
        <v>533</v>
      </c>
      <c r="K8" s="18" t="s">
        <v>262</v>
      </c>
      <c r="M8" s="135" t="s">
        <v>2477</v>
      </c>
      <c r="N8" s="46">
        <f>SUM(H5:H13)</f>
        <v>9</v>
      </c>
    </row>
    <row r="9" spans="1:14">
      <c r="A9" s="15" t="s">
        <v>742</v>
      </c>
      <c r="B9" s="15" t="s">
        <v>738</v>
      </c>
      <c r="C9" s="15" t="s">
        <v>2478</v>
      </c>
      <c r="D9" s="26">
        <v>3</v>
      </c>
      <c r="E9" s="16" t="str">
        <f t="shared" si="0"/>
        <v>Defined</v>
      </c>
      <c r="F9" s="24">
        <v>4</v>
      </c>
      <c r="G9" s="16" t="str">
        <f t="shared" si="0"/>
        <v>Managed</v>
      </c>
      <c r="H9" s="134">
        <f t="shared" si="1"/>
        <v>1</v>
      </c>
      <c r="I9" s="15" t="s">
        <v>2479</v>
      </c>
      <c r="J9" s="15" t="s">
        <v>530</v>
      </c>
      <c r="K9" s="15" t="s">
        <v>68</v>
      </c>
      <c r="M9" s="135" t="s">
        <v>2480</v>
      </c>
      <c r="N9" s="46">
        <f>COUNTIF(H5:H13,"&gt;=2")</f>
        <v>0</v>
      </c>
    </row>
    <row r="10" spans="1:14">
      <c r="A10" s="18" t="s">
        <v>719</v>
      </c>
      <c r="B10" s="18" t="s">
        <v>715</v>
      </c>
      <c r="C10" s="18" t="s">
        <v>2481</v>
      </c>
      <c r="D10" s="26">
        <v>3</v>
      </c>
      <c r="E10" s="19" t="str">
        <f t="shared" si="0"/>
        <v>Defined</v>
      </c>
      <c r="F10" s="24">
        <v>4</v>
      </c>
      <c r="G10" s="19" t="str">
        <f t="shared" si="0"/>
        <v>Managed</v>
      </c>
      <c r="H10" s="134">
        <f t="shared" si="1"/>
        <v>1</v>
      </c>
      <c r="I10" s="18" t="s">
        <v>2482</v>
      </c>
      <c r="J10" s="18" t="s">
        <v>546</v>
      </c>
      <c r="K10" s="18" t="s">
        <v>24</v>
      </c>
      <c r="M10" s="135" t="s">
        <v>2483</v>
      </c>
      <c r="N10" s="46">
        <f>COUNTIF(H5:H13,0)</f>
        <v>0</v>
      </c>
    </row>
    <row r="11" spans="1:14">
      <c r="A11" s="15" t="s">
        <v>724</v>
      </c>
      <c r="B11" s="15" t="s">
        <v>2484</v>
      </c>
      <c r="C11" s="15" t="s">
        <v>2485</v>
      </c>
      <c r="D11" s="26">
        <v>3</v>
      </c>
      <c r="E11" s="16" t="str">
        <f t="shared" si="0"/>
        <v>Defined</v>
      </c>
      <c r="F11" s="24">
        <v>4</v>
      </c>
      <c r="G11" s="16" t="str">
        <f t="shared" si="0"/>
        <v>Managed</v>
      </c>
      <c r="H11" s="134">
        <f t="shared" si="1"/>
        <v>1</v>
      </c>
      <c r="I11" s="15" t="s">
        <v>2486</v>
      </c>
      <c r="J11" s="15" t="s">
        <v>2487</v>
      </c>
      <c r="K11" s="15" t="s">
        <v>181</v>
      </c>
      <c r="M11" s="135" t="s">
        <v>2488</v>
      </c>
      <c r="N11" s="46">
        <f>COUNTIF(D5:D13,"&gt;=4")</f>
        <v>2</v>
      </c>
    </row>
    <row r="12" spans="1:14">
      <c r="A12" s="18" t="s">
        <v>747</v>
      </c>
      <c r="B12" s="18" t="s">
        <v>2489</v>
      </c>
      <c r="C12" s="18" t="s">
        <v>2490</v>
      </c>
      <c r="D12" s="26">
        <v>3</v>
      </c>
      <c r="E12" s="19" t="str">
        <f t="shared" si="0"/>
        <v>Defined</v>
      </c>
      <c r="F12" s="24">
        <v>4</v>
      </c>
      <c r="G12" s="19" t="str">
        <f t="shared" si="0"/>
        <v>Managed</v>
      </c>
      <c r="H12" s="134">
        <f t="shared" si="1"/>
        <v>1</v>
      </c>
      <c r="I12" s="18" t="s">
        <v>2491</v>
      </c>
      <c r="J12" s="18" t="s">
        <v>1078</v>
      </c>
      <c r="K12" s="18" t="s">
        <v>313</v>
      </c>
      <c r="M12" s="135" t="s">
        <v>2492</v>
      </c>
      <c r="N12" s="137">
        <f>SUM(D5:D13)/SUM(F5:F13)</f>
        <v>0.76315789473684215</v>
      </c>
    </row>
    <row r="13" spans="1:14">
      <c r="A13" s="15" t="s">
        <v>752</v>
      </c>
      <c r="B13" s="15" t="s">
        <v>749</v>
      </c>
      <c r="C13" s="15" t="s">
        <v>2493</v>
      </c>
      <c r="D13" s="26">
        <v>3</v>
      </c>
      <c r="E13" s="16" t="str">
        <f t="shared" si="0"/>
        <v>Defined</v>
      </c>
      <c r="F13" s="24">
        <v>4</v>
      </c>
      <c r="G13" s="16" t="str">
        <f t="shared" si="0"/>
        <v>Managed</v>
      </c>
      <c r="H13" s="134">
        <f t="shared" si="1"/>
        <v>1</v>
      </c>
      <c r="I13" s="15" t="s">
        <v>2494</v>
      </c>
      <c r="J13" s="15" t="s">
        <v>2495</v>
      </c>
      <c r="K13" s="15" t="s">
        <v>24</v>
      </c>
    </row>
  </sheetData>
  <mergeCells count="3">
    <mergeCell ref="A1:K1"/>
    <mergeCell ref="A2:K2"/>
    <mergeCell ref="M4:N4"/>
  </mergeCells>
  <pageMargins left="0.7" right="0.7" top="0.75" bottom="0.75" header="0.3" footer="0.3"/>
  <pageSetup orientation="portrait"/>
  <headerFooter>
    <oddHeader>&amp;L&amp;C&amp;R</oddHeader>
    <oddFooter>&amp;L&amp;C&amp;R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9E5E-4705-C295-09D8-A53391FBCDD8}">
  <dimension ref="A1:H22"/>
  <sheetViews>
    <sheetView workbookViewId="0">
      <pane ySplit="4" topLeftCell="A5" activePane="bottomLeft" state="frozen"/>
      <selection pane="bottomLeft" sqref="A1:H1"/>
    </sheetView>
  </sheetViews>
  <sheetFormatPr defaultColWidth="8.85546875" defaultRowHeight="15" customHeight="1"/>
  <cols>
    <col min="1" max="1" width="16" bestFit="1" customWidth="1"/>
    <col min="2" max="2" width="43.85546875" bestFit="1" customWidth="1"/>
    <col min="3" max="3" width="54.7109375" bestFit="1" customWidth="1"/>
    <col min="4" max="4" width="36.42578125" bestFit="1" customWidth="1"/>
    <col min="5" max="5" width="35.140625" bestFit="1" customWidth="1"/>
    <col min="6" max="6" width="38.42578125" bestFit="1" customWidth="1"/>
    <col min="7" max="7" width="35.42578125" bestFit="1" customWidth="1"/>
    <col min="8" max="8" width="54.85546875" bestFit="1" customWidth="1"/>
  </cols>
  <sheetData>
    <row r="1" spans="1:8" ht="18.75">
      <c r="A1" s="198" t="s">
        <v>2496</v>
      </c>
      <c r="B1" s="191"/>
      <c r="C1" s="191"/>
      <c r="D1" s="191"/>
      <c r="E1" s="191"/>
      <c r="F1" s="191"/>
      <c r="G1" s="191"/>
      <c r="H1" s="191"/>
    </row>
    <row r="2" spans="1:8">
      <c r="A2" s="248" t="s">
        <v>2497</v>
      </c>
      <c r="B2" s="191"/>
      <c r="C2" s="191"/>
      <c r="D2" s="191"/>
      <c r="E2" s="191"/>
      <c r="F2" s="191"/>
      <c r="G2" s="191"/>
      <c r="H2" s="191"/>
    </row>
    <row r="3" spans="1:8">
      <c r="A3" s="10" t="s">
        <v>184</v>
      </c>
    </row>
    <row r="4" spans="1:8">
      <c r="A4" s="66" t="s">
        <v>2498</v>
      </c>
      <c r="B4" s="66" t="s">
        <v>2499</v>
      </c>
      <c r="C4" s="66" t="s">
        <v>2500</v>
      </c>
      <c r="D4" s="66" t="s">
        <v>2501</v>
      </c>
      <c r="E4" s="66" t="s">
        <v>2502</v>
      </c>
      <c r="F4" s="66" t="s">
        <v>2503</v>
      </c>
      <c r="G4" s="66" t="s">
        <v>2504</v>
      </c>
      <c r="H4" s="66" t="s">
        <v>2505</v>
      </c>
    </row>
    <row r="5" spans="1:8">
      <c r="A5" s="15" t="s">
        <v>939</v>
      </c>
      <c r="B5" s="15" t="s">
        <v>2506</v>
      </c>
      <c r="C5" s="15" t="s">
        <v>2507</v>
      </c>
      <c r="D5" s="15" t="s">
        <v>954</v>
      </c>
      <c r="E5" s="15" t="s">
        <v>2508</v>
      </c>
      <c r="F5" s="15" t="s">
        <v>2509</v>
      </c>
      <c r="G5" s="15" t="s">
        <v>2510</v>
      </c>
      <c r="H5" s="15" t="s">
        <v>2511</v>
      </c>
    </row>
    <row r="6" spans="1:8">
      <c r="A6" s="18" t="s">
        <v>1195</v>
      </c>
      <c r="B6" s="18" t="s">
        <v>2415</v>
      </c>
      <c r="C6" s="18" t="s">
        <v>2512</v>
      </c>
      <c r="D6" s="18" t="s">
        <v>2513</v>
      </c>
      <c r="E6" s="18" t="s">
        <v>2514</v>
      </c>
      <c r="F6" s="18" t="s">
        <v>2515</v>
      </c>
      <c r="G6" s="18" t="s">
        <v>2516</v>
      </c>
      <c r="H6" s="18" t="s">
        <v>2517</v>
      </c>
    </row>
    <row r="7" spans="1:8">
      <c r="A7" s="15" t="s">
        <v>2419</v>
      </c>
      <c r="B7" s="15" t="s">
        <v>2518</v>
      </c>
      <c r="C7" s="15" t="s">
        <v>2519</v>
      </c>
      <c r="D7" s="15" t="s">
        <v>1604</v>
      </c>
      <c r="E7" s="15" t="s">
        <v>2520</v>
      </c>
      <c r="F7" s="15" t="s">
        <v>2521</v>
      </c>
      <c r="G7" s="15" t="s">
        <v>2522</v>
      </c>
      <c r="H7" s="15" t="s">
        <v>2523</v>
      </c>
    </row>
    <row r="8" spans="1:8">
      <c r="A8" s="18" t="s">
        <v>1095</v>
      </c>
      <c r="B8" s="18" t="s">
        <v>2524</v>
      </c>
      <c r="C8" s="18" t="s">
        <v>2525</v>
      </c>
      <c r="D8" s="18" t="s">
        <v>2526</v>
      </c>
      <c r="E8" s="18" t="s">
        <v>2527</v>
      </c>
      <c r="F8" s="18" t="s">
        <v>2528</v>
      </c>
      <c r="G8" s="18" t="s">
        <v>2529</v>
      </c>
      <c r="H8" s="18" t="s">
        <v>2530</v>
      </c>
    </row>
    <row r="9" spans="1:8">
      <c r="A9" s="15" t="s">
        <v>2428</v>
      </c>
      <c r="B9" s="15" t="s">
        <v>2429</v>
      </c>
      <c r="C9" s="15" t="s">
        <v>2531</v>
      </c>
      <c r="D9" s="15" t="s">
        <v>2532</v>
      </c>
      <c r="E9" s="15" t="s">
        <v>2508</v>
      </c>
      <c r="F9" s="15" t="s">
        <v>2533</v>
      </c>
      <c r="G9" s="15" t="s">
        <v>2534</v>
      </c>
      <c r="H9" s="15" t="s">
        <v>2535</v>
      </c>
    </row>
    <row r="10" spans="1:8">
      <c r="A10" s="18" t="s">
        <v>978</v>
      </c>
      <c r="B10" s="18" t="s">
        <v>2536</v>
      </c>
      <c r="C10" s="18" t="s">
        <v>2537</v>
      </c>
      <c r="D10" s="18" t="s">
        <v>2433</v>
      </c>
      <c r="E10" s="18" t="s">
        <v>2538</v>
      </c>
      <c r="F10" s="18" t="s">
        <v>2539</v>
      </c>
      <c r="G10" s="18" t="s">
        <v>2540</v>
      </c>
      <c r="H10" s="18" t="s">
        <v>2541</v>
      </c>
    </row>
    <row r="11" spans="1:8">
      <c r="A11" s="15" t="s">
        <v>965</v>
      </c>
      <c r="B11" s="15" t="s">
        <v>2435</v>
      </c>
      <c r="C11" s="15" t="s">
        <v>2542</v>
      </c>
      <c r="D11" s="15" t="s">
        <v>109</v>
      </c>
      <c r="E11" s="15" t="s">
        <v>2543</v>
      </c>
      <c r="F11" s="15" t="s">
        <v>2544</v>
      </c>
      <c r="G11" s="15" t="s">
        <v>2545</v>
      </c>
      <c r="H11" s="15" t="s">
        <v>2546</v>
      </c>
    </row>
    <row r="12" spans="1:8">
      <c r="A12" s="18" t="s">
        <v>1128</v>
      </c>
      <c r="B12" s="18" t="s">
        <v>2438</v>
      </c>
      <c r="C12" s="18" t="s">
        <v>2547</v>
      </c>
      <c r="D12" s="18" t="s">
        <v>2439</v>
      </c>
      <c r="E12" s="18" t="s">
        <v>2548</v>
      </c>
      <c r="F12" s="18" t="s">
        <v>2549</v>
      </c>
      <c r="G12" s="18" t="s">
        <v>2550</v>
      </c>
      <c r="H12" s="18" t="s">
        <v>2551</v>
      </c>
    </row>
    <row r="13" spans="1:8">
      <c r="A13" s="15" t="s">
        <v>2441</v>
      </c>
      <c r="B13" s="15" t="s">
        <v>2442</v>
      </c>
      <c r="C13" s="15" t="s">
        <v>2552</v>
      </c>
      <c r="D13" s="15" t="s">
        <v>2553</v>
      </c>
      <c r="E13" s="15" t="s">
        <v>2514</v>
      </c>
      <c r="F13" s="15" t="s">
        <v>2554</v>
      </c>
      <c r="G13" s="15" t="s">
        <v>2555</v>
      </c>
      <c r="H13" s="15" t="s">
        <v>2556</v>
      </c>
    </row>
    <row r="14" spans="1:8">
      <c r="A14" s="18" t="s">
        <v>1227</v>
      </c>
      <c r="B14" s="18" t="s">
        <v>2557</v>
      </c>
      <c r="C14" s="18" t="s">
        <v>2558</v>
      </c>
      <c r="D14" s="18" t="s">
        <v>2559</v>
      </c>
      <c r="E14" s="18" t="s">
        <v>2560</v>
      </c>
      <c r="F14" s="18" t="s">
        <v>2561</v>
      </c>
      <c r="G14" s="18" t="s">
        <v>2562</v>
      </c>
      <c r="H14" s="18" t="s">
        <v>2563</v>
      </c>
    </row>
    <row r="15" spans="1:8">
      <c r="A15" s="15" t="s">
        <v>1145</v>
      </c>
      <c r="B15" s="15" t="s">
        <v>2564</v>
      </c>
      <c r="C15" s="15" t="s">
        <v>2565</v>
      </c>
      <c r="D15" s="15" t="s">
        <v>2450</v>
      </c>
      <c r="E15" s="15" t="s">
        <v>2566</v>
      </c>
      <c r="F15" s="15" t="s">
        <v>2567</v>
      </c>
      <c r="G15" s="15" t="s">
        <v>2568</v>
      </c>
      <c r="H15" s="15" t="s">
        <v>2569</v>
      </c>
    </row>
    <row r="16" spans="1:8">
      <c r="A16" s="18" t="s">
        <v>1284</v>
      </c>
      <c r="B16" s="18" t="s">
        <v>2570</v>
      </c>
      <c r="C16" s="18" t="s">
        <v>2571</v>
      </c>
      <c r="D16" s="18" t="s">
        <v>2572</v>
      </c>
      <c r="E16" s="18" t="s">
        <v>2573</v>
      </c>
      <c r="F16" s="18" t="s">
        <v>2574</v>
      </c>
      <c r="G16" s="18" t="s">
        <v>2575</v>
      </c>
      <c r="H16" s="18" t="s">
        <v>2576</v>
      </c>
    </row>
    <row r="17" spans="1:8">
      <c r="A17" s="15" t="s">
        <v>1228</v>
      </c>
      <c r="B17" s="15" t="s">
        <v>2577</v>
      </c>
      <c r="C17" s="15" t="s">
        <v>2578</v>
      </c>
      <c r="D17" s="15" t="s">
        <v>2579</v>
      </c>
      <c r="E17" s="15" t="s">
        <v>2580</v>
      </c>
      <c r="F17" s="15" t="s">
        <v>2581</v>
      </c>
      <c r="G17" s="15" t="s">
        <v>2582</v>
      </c>
      <c r="H17" s="15" t="s">
        <v>2583</v>
      </c>
    </row>
    <row r="18" spans="1:8">
      <c r="A18" s="18" t="s">
        <v>1129</v>
      </c>
      <c r="B18" s="18" t="s">
        <v>2584</v>
      </c>
      <c r="C18" s="18" t="s">
        <v>2585</v>
      </c>
      <c r="D18" s="18" t="s">
        <v>2439</v>
      </c>
      <c r="E18" s="18" t="s">
        <v>2586</v>
      </c>
      <c r="F18" s="18" t="s">
        <v>2587</v>
      </c>
      <c r="G18" s="18" t="s">
        <v>2588</v>
      </c>
      <c r="H18" s="18" t="s">
        <v>2589</v>
      </c>
    </row>
    <row r="19" spans="1:8">
      <c r="A19" s="15" t="s">
        <v>1157</v>
      </c>
      <c r="B19" s="15" t="s">
        <v>2590</v>
      </c>
      <c r="C19" s="15" t="s">
        <v>2591</v>
      </c>
      <c r="D19" s="15" t="s">
        <v>2592</v>
      </c>
      <c r="E19" s="15" t="s">
        <v>2593</v>
      </c>
      <c r="F19" s="15" t="s">
        <v>2594</v>
      </c>
      <c r="G19" s="15" t="s">
        <v>2595</v>
      </c>
      <c r="H19" s="15" t="s">
        <v>2596</v>
      </c>
    </row>
    <row r="20" spans="1:8">
      <c r="A20" s="18" t="s">
        <v>2597</v>
      </c>
      <c r="B20" s="18" t="s">
        <v>2598</v>
      </c>
      <c r="C20" s="18" t="s">
        <v>2599</v>
      </c>
      <c r="D20" s="18" t="s">
        <v>2600</v>
      </c>
      <c r="E20" s="18" t="s">
        <v>2601</v>
      </c>
      <c r="F20" s="18" t="s">
        <v>2602</v>
      </c>
      <c r="G20" s="18" t="s">
        <v>2603</v>
      </c>
      <c r="H20" s="18" t="s">
        <v>2604</v>
      </c>
    </row>
    <row r="21" spans="1:8">
      <c r="A21" s="15" t="s">
        <v>2605</v>
      </c>
      <c r="B21" s="15" t="s">
        <v>2606</v>
      </c>
      <c r="C21" s="15" t="s">
        <v>2607</v>
      </c>
      <c r="D21" s="15" t="s">
        <v>36</v>
      </c>
      <c r="E21" s="15" t="s">
        <v>2608</v>
      </c>
      <c r="F21" s="15" t="s">
        <v>2609</v>
      </c>
      <c r="G21" s="15" t="s">
        <v>2610</v>
      </c>
      <c r="H21" s="15" t="s">
        <v>2611</v>
      </c>
    </row>
    <row r="22" spans="1:8">
      <c r="A22" s="18" t="s">
        <v>2612</v>
      </c>
      <c r="B22" s="18" t="s">
        <v>2613</v>
      </c>
      <c r="C22" s="18" t="s">
        <v>2614</v>
      </c>
      <c r="D22" s="18" t="s">
        <v>29</v>
      </c>
      <c r="E22" s="18" t="s">
        <v>2615</v>
      </c>
      <c r="F22" s="18" t="s">
        <v>2616</v>
      </c>
      <c r="G22" s="18" t="s">
        <v>2617</v>
      </c>
      <c r="H22" s="18" t="s">
        <v>2618</v>
      </c>
    </row>
  </sheetData>
  <mergeCells count="2">
    <mergeCell ref="A1:H1"/>
    <mergeCell ref="A2:H2"/>
  </mergeCells>
  <pageMargins left="0.7" right="0.7" top="0.75" bottom="0.75" header="0.3" footer="0.3"/>
  <pageSetup orientation="portrait"/>
  <headerFooter>
    <oddHeader>&amp;L&amp;C&amp;R</oddHeader>
    <oddFooter>&amp;L&amp;C&amp;R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AB78-62DF-EFA6-3718-67084A0352A8}">
  <dimension ref="A1:K22"/>
  <sheetViews>
    <sheetView workbookViewId="0">
      <pane ySplit="4" topLeftCell="A5" activePane="bottomLeft" state="frozen"/>
      <selection pane="bottomLeft" sqref="A1:K1"/>
    </sheetView>
  </sheetViews>
  <sheetFormatPr defaultColWidth="8.85546875" defaultRowHeight="15" customHeight="1"/>
  <cols>
    <col min="1" max="1" width="33" bestFit="1" customWidth="1"/>
    <col min="2" max="2" width="19.140625" bestFit="1" customWidth="1"/>
    <col min="3" max="3" width="11.42578125" bestFit="1" customWidth="1"/>
    <col min="4" max="4" width="69" bestFit="1" customWidth="1"/>
    <col min="5" max="5" width="13.85546875" bestFit="1" customWidth="1"/>
    <col min="6" max="6" width="15" bestFit="1" customWidth="1"/>
    <col min="7" max="7" width="12.42578125" bestFit="1" customWidth="1"/>
    <col min="8" max="8" width="44.5703125" bestFit="1" customWidth="1"/>
    <col min="9" max="9" width="18" customWidth="1"/>
    <col min="10" max="10" width="14.140625" bestFit="1" customWidth="1"/>
    <col min="11" max="11" width="30.5703125" bestFit="1" customWidth="1"/>
  </cols>
  <sheetData>
    <row r="1" spans="1:11" ht="18.75">
      <c r="A1" s="198" t="s">
        <v>2619</v>
      </c>
      <c r="B1" s="191"/>
      <c r="C1" s="191"/>
      <c r="D1" s="191"/>
      <c r="E1" s="191"/>
      <c r="F1" s="191"/>
      <c r="G1" s="191"/>
      <c r="H1" s="191"/>
      <c r="I1" s="191"/>
      <c r="J1" s="191"/>
      <c r="K1" s="191"/>
    </row>
    <row r="2" spans="1:11">
      <c r="A2" s="248" t="s">
        <v>2620</v>
      </c>
      <c r="B2" s="191"/>
      <c r="C2" s="191"/>
      <c r="D2" s="191"/>
      <c r="E2" s="191"/>
      <c r="F2" s="191"/>
      <c r="G2" s="191"/>
      <c r="H2" s="191"/>
      <c r="I2" s="191"/>
      <c r="J2" s="191"/>
      <c r="K2" s="191"/>
    </row>
    <row r="3" spans="1:11">
      <c r="A3" s="10" t="s">
        <v>184</v>
      </c>
    </row>
    <row r="4" spans="1:11">
      <c r="A4" s="66" t="s">
        <v>2621</v>
      </c>
      <c r="B4" s="66" t="s">
        <v>523</v>
      </c>
      <c r="C4" s="66" t="s">
        <v>1238</v>
      </c>
      <c r="D4" s="66" t="s">
        <v>824</v>
      </c>
      <c r="E4" s="66" t="s">
        <v>2622</v>
      </c>
      <c r="F4" s="66" t="s">
        <v>17</v>
      </c>
      <c r="G4" s="66" t="s">
        <v>2623</v>
      </c>
      <c r="H4" s="66" t="s">
        <v>2624</v>
      </c>
      <c r="I4" s="66" t="s">
        <v>2625</v>
      </c>
      <c r="J4" s="66" t="s">
        <v>1881</v>
      </c>
      <c r="K4" s="66" t="s">
        <v>78</v>
      </c>
    </row>
    <row r="5" spans="1:11">
      <c r="A5" s="15" t="s">
        <v>2626</v>
      </c>
      <c r="B5" s="15" t="s">
        <v>2627</v>
      </c>
      <c r="C5" s="15" t="s">
        <v>2628</v>
      </c>
      <c r="D5" s="15" t="s">
        <v>2629</v>
      </c>
      <c r="E5" s="138" t="s">
        <v>2630</v>
      </c>
      <c r="F5" s="15" t="s">
        <v>173</v>
      </c>
      <c r="G5" s="15" t="s">
        <v>2631</v>
      </c>
      <c r="H5" s="15" t="s">
        <v>2287</v>
      </c>
      <c r="I5" s="134" t="s">
        <v>1493</v>
      </c>
      <c r="J5" s="15" t="s">
        <v>1049</v>
      </c>
      <c r="K5" s="15" t="s">
        <v>2632</v>
      </c>
    </row>
    <row r="6" spans="1:11">
      <c r="A6" s="18" t="s">
        <v>1939</v>
      </c>
      <c r="B6" s="18" t="s">
        <v>2633</v>
      </c>
      <c r="C6" s="18" t="s">
        <v>1939</v>
      </c>
      <c r="D6" s="18" t="s">
        <v>2634</v>
      </c>
      <c r="E6" s="138" t="s">
        <v>2630</v>
      </c>
      <c r="F6" s="18" t="s">
        <v>68</v>
      </c>
      <c r="G6" s="18" t="s">
        <v>2631</v>
      </c>
      <c r="H6" s="18" t="s">
        <v>1941</v>
      </c>
      <c r="I6" s="134" t="s">
        <v>1493</v>
      </c>
      <c r="J6" s="18" t="s">
        <v>1942</v>
      </c>
      <c r="K6" s="18" t="s">
        <v>2635</v>
      </c>
    </row>
    <row r="7" spans="1:11">
      <c r="A7" s="15" t="s">
        <v>2636</v>
      </c>
      <c r="B7" s="15" t="s">
        <v>2637</v>
      </c>
      <c r="C7" s="15" t="s">
        <v>2628</v>
      </c>
      <c r="D7" s="15" t="s">
        <v>2638</v>
      </c>
      <c r="E7" s="138" t="s">
        <v>2630</v>
      </c>
      <c r="F7" s="15" t="s">
        <v>181</v>
      </c>
      <c r="G7" s="15" t="s">
        <v>2631</v>
      </c>
      <c r="H7" s="15" t="s">
        <v>2639</v>
      </c>
      <c r="I7" s="134" t="s">
        <v>1493</v>
      </c>
      <c r="J7" s="15" t="s">
        <v>1106</v>
      </c>
      <c r="K7" s="15" t="s">
        <v>2640</v>
      </c>
    </row>
    <row r="8" spans="1:11">
      <c r="A8" s="18" t="s">
        <v>2641</v>
      </c>
      <c r="B8" s="18" t="s">
        <v>2642</v>
      </c>
      <c r="C8" s="18" t="s">
        <v>2628</v>
      </c>
      <c r="D8" s="18" t="s">
        <v>2643</v>
      </c>
      <c r="E8" s="138" t="s">
        <v>2630</v>
      </c>
      <c r="F8" s="18" t="s">
        <v>173</v>
      </c>
      <c r="G8" s="18" t="s">
        <v>2631</v>
      </c>
      <c r="H8" s="18" t="s">
        <v>1136</v>
      </c>
      <c r="I8" s="134" t="s">
        <v>1493</v>
      </c>
      <c r="J8" s="18" t="s">
        <v>1106</v>
      </c>
      <c r="K8" s="18" t="s">
        <v>2644</v>
      </c>
    </row>
    <row r="9" spans="1:11">
      <c r="A9" s="15" t="s">
        <v>1923</v>
      </c>
      <c r="B9" s="15" t="s">
        <v>2645</v>
      </c>
      <c r="C9" s="15" t="s">
        <v>2628</v>
      </c>
      <c r="D9" s="15" t="s">
        <v>2646</v>
      </c>
      <c r="E9" s="138" t="s">
        <v>2630</v>
      </c>
      <c r="F9" s="15" t="s">
        <v>173</v>
      </c>
      <c r="G9" s="15" t="s">
        <v>2631</v>
      </c>
      <c r="H9" s="15" t="s">
        <v>1974</v>
      </c>
      <c r="I9" s="134" t="s">
        <v>1493</v>
      </c>
      <c r="J9" s="15" t="s">
        <v>1106</v>
      </c>
      <c r="K9" s="15" t="s">
        <v>2647</v>
      </c>
    </row>
    <row r="10" spans="1:11">
      <c r="A10" s="18" t="s">
        <v>2648</v>
      </c>
      <c r="B10" s="18" t="s">
        <v>2649</v>
      </c>
      <c r="C10" s="18" t="s">
        <v>1972</v>
      </c>
      <c r="D10" s="18" t="s">
        <v>2650</v>
      </c>
      <c r="E10" s="139" t="s">
        <v>2651</v>
      </c>
      <c r="F10" s="18" t="s">
        <v>173</v>
      </c>
      <c r="G10" s="18" t="s">
        <v>2631</v>
      </c>
      <c r="H10" s="18" t="s">
        <v>549</v>
      </c>
      <c r="I10" s="134" t="s">
        <v>1493</v>
      </c>
      <c r="J10" s="18" t="s">
        <v>1106</v>
      </c>
      <c r="K10" s="18" t="s">
        <v>2652</v>
      </c>
    </row>
    <row r="11" spans="1:11">
      <c r="A11" s="15" t="s">
        <v>2592</v>
      </c>
      <c r="B11" s="15" t="s">
        <v>2653</v>
      </c>
      <c r="C11" s="15" t="s">
        <v>2628</v>
      </c>
      <c r="D11" s="15" t="s">
        <v>2654</v>
      </c>
      <c r="E11" s="138" t="s">
        <v>2630</v>
      </c>
      <c r="F11" s="15" t="s">
        <v>173</v>
      </c>
      <c r="G11" s="15" t="s">
        <v>2631</v>
      </c>
      <c r="H11" s="15" t="s">
        <v>2287</v>
      </c>
      <c r="I11" s="134" t="s">
        <v>1493</v>
      </c>
      <c r="J11" s="15" t="s">
        <v>1106</v>
      </c>
      <c r="K11" s="15" t="s">
        <v>2655</v>
      </c>
    </row>
    <row r="12" spans="1:11">
      <c r="A12" s="18" t="s">
        <v>2579</v>
      </c>
      <c r="B12" s="18" t="s">
        <v>2656</v>
      </c>
      <c r="C12" s="18" t="s">
        <v>2628</v>
      </c>
      <c r="D12" s="18" t="s">
        <v>2657</v>
      </c>
      <c r="E12" s="138" t="s">
        <v>2630</v>
      </c>
      <c r="F12" s="18" t="s">
        <v>173</v>
      </c>
      <c r="G12" s="18" t="s">
        <v>2631</v>
      </c>
      <c r="H12" s="18" t="s">
        <v>2658</v>
      </c>
      <c r="I12" s="134" t="s">
        <v>1493</v>
      </c>
      <c r="J12" s="18" t="s">
        <v>1106</v>
      </c>
      <c r="K12" s="18" t="s">
        <v>2659</v>
      </c>
    </row>
    <row r="13" spans="1:11">
      <c r="A13" s="15" t="s">
        <v>2351</v>
      </c>
      <c r="B13" s="15" t="s">
        <v>2660</v>
      </c>
      <c r="C13" s="15" t="s">
        <v>2661</v>
      </c>
      <c r="D13" s="15" t="s">
        <v>2662</v>
      </c>
      <c r="E13" s="138" t="s">
        <v>2630</v>
      </c>
      <c r="F13" s="15" t="s">
        <v>173</v>
      </c>
      <c r="G13" s="15" t="s">
        <v>2631</v>
      </c>
      <c r="H13" s="15" t="s">
        <v>2287</v>
      </c>
      <c r="I13" s="134" t="s">
        <v>1493</v>
      </c>
      <c r="J13" s="15" t="s">
        <v>1106</v>
      </c>
      <c r="K13" s="15" t="s">
        <v>2352</v>
      </c>
    </row>
    <row r="14" spans="1:11">
      <c r="A14" s="18" t="s">
        <v>2370</v>
      </c>
      <c r="B14" s="18" t="s">
        <v>2663</v>
      </c>
      <c r="C14" s="18" t="s">
        <v>2664</v>
      </c>
      <c r="D14" s="18" t="s">
        <v>2665</v>
      </c>
      <c r="E14" s="138" t="s">
        <v>2630</v>
      </c>
      <c r="F14" s="18" t="s">
        <v>173</v>
      </c>
      <c r="G14" s="18" t="s">
        <v>2631</v>
      </c>
      <c r="H14" s="18" t="s">
        <v>2287</v>
      </c>
      <c r="I14" s="134" t="s">
        <v>1493</v>
      </c>
      <c r="J14" s="18" t="s">
        <v>1106</v>
      </c>
      <c r="K14" s="18" t="s">
        <v>2666</v>
      </c>
    </row>
    <row r="15" spans="1:11">
      <c r="A15" s="15" t="s">
        <v>1934</v>
      </c>
      <c r="B15" s="15" t="s">
        <v>2667</v>
      </c>
      <c r="C15" s="15" t="s">
        <v>1934</v>
      </c>
      <c r="D15" s="15" t="s">
        <v>2668</v>
      </c>
      <c r="E15" s="138" t="s">
        <v>2630</v>
      </c>
      <c r="F15" s="15" t="s">
        <v>173</v>
      </c>
      <c r="G15" s="15" t="s">
        <v>2631</v>
      </c>
      <c r="H15" s="15" t="s">
        <v>549</v>
      </c>
      <c r="I15" s="134" t="s">
        <v>1493</v>
      </c>
      <c r="J15" s="15" t="s">
        <v>1106</v>
      </c>
      <c r="K15" s="15" t="s">
        <v>2669</v>
      </c>
    </row>
    <row r="16" spans="1:11">
      <c r="A16" s="18" t="s">
        <v>2670</v>
      </c>
      <c r="B16" s="18" t="s">
        <v>2671</v>
      </c>
      <c r="C16" s="18" t="s">
        <v>1899</v>
      </c>
      <c r="D16" s="18" t="s">
        <v>2672</v>
      </c>
      <c r="E16" s="138" t="s">
        <v>2630</v>
      </c>
      <c r="F16" s="18" t="s">
        <v>269</v>
      </c>
      <c r="G16" s="18" t="s">
        <v>2631</v>
      </c>
      <c r="H16" s="18" t="s">
        <v>1083</v>
      </c>
      <c r="I16" s="134" t="s">
        <v>1493</v>
      </c>
      <c r="J16" s="18" t="s">
        <v>1106</v>
      </c>
      <c r="K16" s="18" t="s">
        <v>2673</v>
      </c>
    </row>
    <row r="17" spans="1:11">
      <c r="A17" s="15" t="s">
        <v>2674</v>
      </c>
      <c r="B17" s="15" t="s">
        <v>2675</v>
      </c>
      <c r="C17" s="15" t="s">
        <v>1904</v>
      </c>
      <c r="D17" s="15" t="s">
        <v>2676</v>
      </c>
      <c r="E17" s="140" t="s">
        <v>2677</v>
      </c>
      <c r="F17" s="15" t="s">
        <v>68</v>
      </c>
      <c r="G17" s="15" t="s">
        <v>2631</v>
      </c>
      <c r="H17" s="15" t="s">
        <v>1119</v>
      </c>
      <c r="I17" s="26" t="s">
        <v>1524</v>
      </c>
      <c r="J17" s="15" t="s">
        <v>1089</v>
      </c>
      <c r="K17" s="15" t="s">
        <v>2678</v>
      </c>
    </row>
    <row r="18" spans="1:11">
      <c r="A18" s="18" t="s">
        <v>1928</v>
      </c>
      <c r="B18" s="18" t="s">
        <v>1293</v>
      </c>
      <c r="C18" s="18" t="s">
        <v>1928</v>
      </c>
      <c r="D18" s="18" t="s">
        <v>2679</v>
      </c>
      <c r="E18" s="140" t="s">
        <v>2677</v>
      </c>
      <c r="F18" s="18" t="s">
        <v>299</v>
      </c>
      <c r="G18" s="18" t="s">
        <v>2631</v>
      </c>
      <c r="H18" s="18" t="s">
        <v>1289</v>
      </c>
      <c r="I18" s="26" t="s">
        <v>1524</v>
      </c>
      <c r="J18" s="18" t="s">
        <v>1106</v>
      </c>
      <c r="K18" s="18" t="s">
        <v>2680</v>
      </c>
    </row>
    <row r="19" spans="1:11">
      <c r="A19" s="15" t="s">
        <v>1910</v>
      </c>
      <c r="B19" s="15" t="s">
        <v>2681</v>
      </c>
      <c r="C19" s="15" t="s">
        <v>2682</v>
      </c>
      <c r="D19" s="15" t="s">
        <v>2683</v>
      </c>
      <c r="E19" s="140" t="s">
        <v>2677</v>
      </c>
      <c r="F19" s="15" t="s">
        <v>150</v>
      </c>
      <c r="G19" s="15" t="s">
        <v>2631</v>
      </c>
      <c r="H19" s="15" t="s">
        <v>351</v>
      </c>
      <c r="I19" s="134" t="s">
        <v>1493</v>
      </c>
      <c r="J19" s="15" t="s">
        <v>1106</v>
      </c>
      <c r="K19" s="15" t="s">
        <v>2684</v>
      </c>
    </row>
    <row r="20" spans="1:11">
      <c r="A20" s="18" t="s">
        <v>2685</v>
      </c>
      <c r="B20" s="18" t="s">
        <v>2686</v>
      </c>
      <c r="C20" s="18" t="s">
        <v>2687</v>
      </c>
      <c r="D20" s="18" t="s">
        <v>2688</v>
      </c>
      <c r="E20" s="138" t="s">
        <v>2630</v>
      </c>
      <c r="F20" s="18" t="s">
        <v>262</v>
      </c>
      <c r="G20" s="18" t="s">
        <v>2631</v>
      </c>
      <c r="H20" s="18" t="s">
        <v>1234</v>
      </c>
      <c r="I20" s="134" t="s">
        <v>1493</v>
      </c>
      <c r="J20" s="18" t="s">
        <v>1106</v>
      </c>
      <c r="K20" s="18" t="s">
        <v>2689</v>
      </c>
    </row>
    <row r="21" spans="1:11">
      <c r="A21" s="15" t="s">
        <v>1519</v>
      </c>
      <c r="B21" s="15" t="s">
        <v>2690</v>
      </c>
      <c r="C21" s="15" t="s">
        <v>1519</v>
      </c>
      <c r="D21" s="15" t="s">
        <v>2691</v>
      </c>
      <c r="E21" s="138" t="s">
        <v>2630</v>
      </c>
      <c r="F21" s="15" t="s">
        <v>173</v>
      </c>
      <c r="G21" s="15" t="s">
        <v>2631</v>
      </c>
      <c r="H21" s="15" t="s">
        <v>549</v>
      </c>
      <c r="I21" s="134" t="s">
        <v>1493</v>
      </c>
      <c r="J21" s="15" t="s">
        <v>1106</v>
      </c>
      <c r="K21" s="15" t="s">
        <v>2692</v>
      </c>
    </row>
    <row r="22" spans="1:11">
      <c r="A22" s="18" t="s">
        <v>1947</v>
      </c>
      <c r="B22" s="18" t="s">
        <v>2693</v>
      </c>
      <c r="C22" s="18" t="s">
        <v>1947</v>
      </c>
      <c r="D22" s="18" t="s">
        <v>2694</v>
      </c>
      <c r="E22" s="138" t="s">
        <v>2630</v>
      </c>
      <c r="F22" s="18" t="s">
        <v>262</v>
      </c>
      <c r="G22" s="18" t="s">
        <v>2631</v>
      </c>
      <c r="H22" s="18" t="s">
        <v>549</v>
      </c>
      <c r="I22" s="134" t="s">
        <v>1493</v>
      </c>
      <c r="J22" s="18" t="s">
        <v>1106</v>
      </c>
      <c r="K22" s="18" t="s">
        <v>2695</v>
      </c>
    </row>
  </sheetData>
  <mergeCells count="2">
    <mergeCell ref="A1:K1"/>
    <mergeCell ref="A2:K2"/>
  </mergeCells>
  <pageMargins left="0.7" right="0.7" top="0.75" bottom="0.75" header="0.3" footer="0.3"/>
  <pageSetup orientation="portrait"/>
  <headerFooter>
    <oddHeader>&amp;L&amp;C&amp;R</oddHeader>
    <oddFooter>&amp;L&amp;C&amp;R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9C118-8008-F288-380A-01FA084B5EC8}">
  <dimension ref="A1:L16"/>
  <sheetViews>
    <sheetView workbookViewId="0">
      <pane ySplit="4" topLeftCell="A5" activePane="bottomLeft" state="frozen"/>
      <selection pane="bottomLeft" sqref="A1:L1"/>
    </sheetView>
  </sheetViews>
  <sheetFormatPr defaultColWidth="8.85546875" defaultRowHeight="15" customHeight="1"/>
  <cols>
    <col min="1" max="1" width="16" bestFit="1" customWidth="1"/>
    <col min="2" max="2" width="31.7109375" bestFit="1" customWidth="1"/>
    <col min="3" max="3" width="64.85546875" bestFit="1" customWidth="1"/>
    <col min="4" max="4" width="24.140625" bestFit="1" customWidth="1"/>
    <col min="5" max="5" width="37.140625" bestFit="1" customWidth="1"/>
    <col min="6" max="6" width="15" bestFit="1" customWidth="1"/>
    <col min="7" max="7" width="14" customWidth="1"/>
    <col min="8" max="8" width="21.5703125" bestFit="1" customWidth="1"/>
    <col min="9" max="9" width="15.7109375" bestFit="1" customWidth="1"/>
    <col min="10" max="10" width="43.5703125" bestFit="1" customWidth="1"/>
    <col min="11" max="11" width="34.5703125" bestFit="1" customWidth="1"/>
    <col min="12" max="12" width="13.28515625" bestFit="1" customWidth="1"/>
  </cols>
  <sheetData>
    <row r="1" spans="1:12" ht="18.75">
      <c r="A1" s="198" t="s">
        <v>2696</v>
      </c>
      <c r="B1" s="191"/>
      <c r="C1" s="191"/>
      <c r="D1" s="191"/>
      <c r="E1" s="191"/>
      <c r="F1" s="191"/>
      <c r="G1" s="191"/>
      <c r="H1" s="191"/>
      <c r="I1" s="191"/>
      <c r="J1" s="191"/>
      <c r="K1" s="191"/>
      <c r="L1" s="191"/>
    </row>
    <row r="2" spans="1:12">
      <c r="A2" s="248" t="s">
        <v>2697</v>
      </c>
      <c r="B2" s="191"/>
      <c r="C2" s="191"/>
      <c r="D2" s="191"/>
      <c r="E2" s="191"/>
      <c r="F2" s="191"/>
      <c r="G2" s="191"/>
      <c r="H2" s="191"/>
      <c r="I2" s="191"/>
      <c r="J2" s="191"/>
      <c r="K2" s="191"/>
      <c r="L2" s="191"/>
    </row>
    <row r="3" spans="1:12">
      <c r="A3" s="10" t="s">
        <v>184</v>
      </c>
    </row>
    <row r="4" spans="1:12">
      <c r="A4" s="66" t="s">
        <v>2698</v>
      </c>
      <c r="B4" s="66" t="s">
        <v>2699</v>
      </c>
      <c r="C4" s="66" t="s">
        <v>824</v>
      </c>
      <c r="D4" s="66" t="s">
        <v>2700</v>
      </c>
      <c r="E4" s="66" t="s">
        <v>2701</v>
      </c>
      <c r="F4" s="66" t="s">
        <v>17</v>
      </c>
      <c r="G4" s="66" t="s">
        <v>2702</v>
      </c>
      <c r="H4" s="66" t="s">
        <v>758</v>
      </c>
      <c r="I4" s="66" t="s">
        <v>2703</v>
      </c>
      <c r="J4" s="66" t="s">
        <v>2704</v>
      </c>
      <c r="K4" s="66" t="s">
        <v>2705</v>
      </c>
      <c r="L4" s="66" t="s">
        <v>2270</v>
      </c>
    </row>
    <row r="5" spans="1:12">
      <c r="A5" s="15" t="s">
        <v>2706</v>
      </c>
      <c r="B5" s="15" t="s">
        <v>2707</v>
      </c>
      <c r="C5" s="15" t="s">
        <v>2708</v>
      </c>
      <c r="D5" s="15" t="s">
        <v>2709</v>
      </c>
      <c r="E5" s="15" t="s">
        <v>2710</v>
      </c>
      <c r="F5" s="15" t="s">
        <v>68</v>
      </c>
      <c r="G5" s="15" t="s">
        <v>674</v>
      </c>
      <c r="H5" s="15" t="s">
        <v>741</v>
      </c>
      <c r="I5" s="15" t="s">
        <v>23</v>
      </c>
      <c r="J5" s="15" t="s">
        <v>2711</v>
      </c>
      <c r="K5" s="15" t="s">
        <v>2712</v>
      </c>
      <c r="L5" s="21" t="s">
        <v>2713</v>
      </c>
    </row>
    <row r="6" spans="1:12">
      <c r="A6" s="18" t="s">
        <v>2714</v>
      </c>
      <c r="B6" s="18" t="s">
        <v>2715</v>
      </c>
      <c r="C6" s="18" t="s">
        <v>2716</v>
      </c>
      <c r="D6" s="18" t="s">
        <v>2717</v>
      </c>
      <c r="E6" s="18" t="s">
        <v>2718</v>
      </c>
      <c r="F6" s="18" t="s">
        <v>181</v>
      </c>
      <c r="G6" s="18" t="s">
        <v>764</v>
      </c>
      <c r="H6" s="18" t="s">
        <v>706</v>
      </c>
      <c r="I6" s="18" t="s">
        <v>30</v>
      </c>
      <c r="J6" s="18" t="s">
        <v>2719</v>
      </c>
      <c r="K6" s="18" t="s">
        <v>2720</v>
      </c>
      <c r="L6" s="23" t="s">
        <v>2721</v>
      </c>
    </row>
    <row r="7" spans="1:12">
      <c r="A7" s="15" t="s">
        <v>2722</v>
      </c>
      <c r="B7" s="15" t="s">
        <v>2723</v>
      </c>
      <c r="C7" s="15" t="s">
        <v>2724</v>
      </c>
      <c r="D7" s="15" t="s">
        <v>2725</v>
      </c>
      <c r="E7" s="15" t="s">
        <v>1519</v>
      </c>
      <c r="F7" s="15" t="s">
        <v>24</v>
      </c>
      <c r="G7" s="15" t="s">
        <v>2186</v>
      </c>
      <c r="H7" s="15" t="s">
        <v>718</v>
      </c>
      <c r="I7" s="15" t="s">
        <v>23</v>
      </c>
      <c r="J7" s="15" t="s">
        <v>2726</v>
      </c>
      <c r="K7" s="15" t="s">
        <v>2727</v>
      </c>
      <c r="L7" s="21" t="s">
        <v>2728</v>
      </c>
    </row>
    <row r="8" spans="1:12">
      <c r="A8" s="18" t="s">
        <v>2729</v>
      </c>
      <c r="B8" s="18" t="s">
        <v>2730</v>
      </c>
      <c r="C8" s="18" t="s">
        <v>2731</v>
      </c>
      <c r="D8" s="18" t="s">
        <v>2732</v>
      </c>
      <c r="E8" s="18" t="s">
        <v>2579</v>
      </c>
      <c r="F8" s="18" t="s">
        <v>173</v>
      </c>
      <c r="G8" s="18" t="s">
        <v>2150</v>
      </c>
      <c r="H8" s="18" t="s">
        <v>1142</v>
      </c>
      <c r="I8" s="18" t="s">
        <v>23</v>
      </c>
      <c r="J8" s="18" t="s">
        <v>2733</v>
      </c>
      <c r="K8" s="18" t="s">
        <v>2734</v>
      </c>
      <c r="L8" s="23" t="s">
        <v>1149</v>
      </c>
    </row>
    <row r="9" spans="1:12">
      <c r="A9" s="15" t="s">
        <v>2735</v>
      </c>
      <c r="B9" s="15" t="s">
        <v>2736</v>
      </c>
      <c r="C9" s="15" t="s">
        <v>2737</v>
      </c>
      <c r="D9" s="15" t="s">
        <v>2738</v>
      </c>
      <c r="E9" s="15" t="s">
        <v>2739</v>
      </c>
      <c r="F9" s="15" t="s">
        <v>173</v>
      </c>
      <c r="G9" s="15" t="s">
        <v>674</v>
      </c>
      <c r="H9" s="15" t="s">
        <v>729</v>
      </c>
      <c r="I9" s="15" t="s">
        <v>23</v>
      </c>
      <c r="J9" s="15" t="s">
        <v>2740</v>
      </c>
      <c r="K9" s="15" t="s">
        <v>2741</v>
      </c>
      <c r="L9" s="21" t="s">
        <v>1319</v>
      </c>
    </row>
    <row r="10" spans="1:12">
      <c r="A10" s="18" t="s">
        <v>2742</v>
      </c>
      <c r="B10" s="18" t="s">
        <v>2743</v>
      </c>
      <c r="C10" s="18" t="s">
        <v>2744</v>
      </c>
      <c r="D10" s="18" t="s">
        <v>2745</v>
      </c>
      <c r="E10" s="18" t="s">
        <v>2746</v>
      </c>
      <c r="F10" s="18" t="s">
        <v>150</v>
      </c>
      <c r="G10" s="18" t="s">
        <v>2747</v>
      </c>
      <c r="H10" s="18" t="s">
        <v>2122</v>
      </c>
      <c r="I10" s="18" t="s">
        <v>23</v>
      </c>
      <c r="J10" s="18" t="s">
        <v>2748</v>
      </c>
      <c r="K10" s="18" t="s">
        <v>2749</v>
      </c>
      <c r="L10" s="23" t="s">
        <v>2750</v>
      </c>
    </row>
    <row r="11" spans="1:12">
      <c r="A11" s="15" t="s">
        <v>2751</v>
      </c>
      <c r="B11" s="15" t="s">
        <v>2752</v>
      </c>
      <c r="C11" s="15" t="s">
        <v>2753</v>
      </c>
      <c r="D11" s="15" t="s">
        <v>2754</v>
      </c>
      <c r="E11" s="15" t="s">
        <v>2755</v>
      </c>
      <c r="F11" s="15" t="s">
        <v>173</v>
      </c>
      <c r="G11" s="15" t="s">
        <v>2227</v>
      </c>
      <c r="H11" s="15" t="s">
        <v>2756</v>
      </c>
      <c r="I11" s="15" t="s">
        <v>23</v>
      </c>
      <c r="J11" s="15" t="s">
        <v>2757</v>
      </c>
      <c r="K11" s="15" t="s">
        <v>2758</v>
      </c>
      <c r="L11" s="21" t="s">
        <v>2728</v>
      </c>
    </row>
    <row r="12" spans="1:12">
      <c r="A12" s="18" t="s">
        <v>2759</v>
      </c>
      <c r="B12" s="18" t="s">
        <v>2760</v>
      </c>
      <c r="C12" s="18" t="s">
        <v>2761</v>
      </c>
      <c r="D12" s="18" t="s">
        <v>2762</v>
      </c>
      <c r="E12" s="18" t="s">
        <v>2763</v>
      </c>
      <c r="F12" s="18" t="s">
        <v>173</v>
      </c>
      <c r="G12" s="18" t="s">
        <v>2227</v>
      </c>
      <c r="H12" s="18" t="s">
        <v>729</v>
      </c>
      <c r="I12" s="18" t="s">
        <v>23</v>
      </c>
      <c r="J12" s="18" t="s">
        <v>2764</v>
      </c>
      <c r="K12" s="18" t="s">
        <v>2765</v>
      </c>
      <c r="L12" s="23" t="s">
        <v>2766</v>
      </c>
    </row>
    <row r="13" spans="1:12">
      <c r="A13" s="15" t="s">
        <v>2767</v>
      </c>
      <c r="B13" s="15" t="s">
        <v>2768</v>
      </c>
      <c r="C13" s="15" t="s">
        <v>2769</v>
      </c>
      <c r="D13" s="15" t="s">
        <v>2770</v>
      </c>
      <c r="E13" s="15" t="s">
        <v>2664</v>
      </c>
      <c r="F13" s="15" t="s">
        <v>173</v>
      </c>
      <c r="G13" s="15" t="s">
        <v>2227</v>
      </c>
      <c r="H13" s="15" t="s">
        <v>729</v>
      </c>
      <c r="I13" s="15" t="s">
        <v>30</v>
      </c>
      <c r="J13" s="15" t="s">
        <v>2771</v>
      </c>
      <c r="K13" s="15" t="s">
        <v>2772</v>
      </c>
      <c r="L13" s="21" t="s">
        <v>2773</v>
      </c>
    </row>
    <row r="14" spans="1:12">
      <c r="A14" s="18" t="s">
        <v>2774</v>
      </c>
      <c r="B14" s="18" t="s">
        <v>2775</v>
      </c>
      <c r="C14" s="18" t="s">
        <v>2776</v>
      </c>
      <c r="D14" s="18" t="s">
        <v>2777</v>
      </c>
      <c r="E14" s="18" t="s">
        <v>2778</v>
      </c>
      <c r="F14" s="18" t="s">
        <v>24</v>
      </c>
      <c r="G14" s="18" t="s">
        <v>2779</v>
      </c>
      <c r="H14" s="18" t="s">
        <v>2780</v>
      </c>
      <c r="I14" s="18" t="s">
        <v>23</v>
      </c>
      <c r="J14" s="18" t="s">
        <v>2781</v>
      </c>
      <c r="K14" s="18" t="s">
        <v>2782</v>
      </c>
      <c r="L14" s="23" t="s">
        <v>2728</v>
      </c>
    </row>
    <row r="15" spans="1:12">
      <c r="A15" s="15" t="s">
        <v>2783</v>
      </c>
      <c r="B15" s="15" t="s">
        <v>2784</v>
      </c>
      <c r="C15" s="15" t="s">
        <v>2785</v>
      </c>
      <c r="D15" s="15" t="s">
        <v>2786</v>
      </c>
      <c r="E15" s="15" t="s">
        <v>2787</v>
      </c>
      <c r="F15" s="15" t="s">
        <v>150</v>
      </c>
      <c r="G15" s="15" t="s">
        <v>2197</v>
      </c>
      <c r="H15" s="15" t="s">
        <v>2122</v>
      </c>
      <c r="I15" s="15" t="s">
        <v>23</v>
      </c>
      <c r="J15" s="15" t="s">
        <v>2788</v>
      </c>
      <c r="K15" s="15" t="s">
        <v>2789</v>
      </c>
      <c r="L15" s="21" t="s">
        <v>2790</v>
      </c>
    </row>
    <row r="16" spans="1:12">
      <c r="A16" s="18" t="s">
        <v>2791</v>
      </c>
      <c r="B16" s="18" t="s">
        <v>2792</v>
      </c>
      <c r="C16" s="18" t="s">
        <v>2793</v>
      </c>
      <c r="D16" s="18" t="s">
        <v>2794</v>
      </c>
      <c r="E16" s="18" t="s">
        <v>2795</v>
      </c>
      <c r="F16" s="18" t="s">
        <v>173</v>
      </c>
      <c r="G16" s="18" t="s">
        <v>1010</v>
      </c>
      <c r="H16" s="18" t="s">
        <v>2796</v>
      </c>
      <c r="I16" s="18" t="s">
        <v>30</v>
      </c>
      <c r="J16" s="18" t="s">
        <v>2797</v>
      </c>
      <c r="K16" s="18" t="s">
        <v>2798</v>
      </c>
      <c r="L16" s="23" t="s">
        <v>2799</v>
      </c>
    </row>
  </sheetData>
  <mergeCells count="2">
    <mergeCell ref="A1:L1"/>
    <mergeCell ref="A2:L2"/>
  </mergeCells>
  <pageMargins left="0.7" right="0.7" top="0.75" bottom="0.75" header="0.3" footer="0.3"/>
  <pageSetup orientation="portrait"/>
  <headerFooter>
    <oddHeader>&amp;L&amp;C&amp;R</oddHeader>
    <oddFooter>&amp;L&amp;C&amp;R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6B7B-3C88-69B8-3FF8-8488D46C1578}">
  <dimension ref="A1:N20"/>
  <sheetViews>
    <sheetView workbookViewId="0">
      <pane ySplit="4" topLeftCell="A5" activePane="bottomLeft" state="frozen"/>
      <selection pane="bottomLeft" sqref="A1:K1"/>
    </sheetView>
  </sheetViews>
  <sheetFormatPr defaultColWidth="8.85546875" defaultRowHeight="15" customHeight="1"/>
  <cols>
    <col min="1" max="1" width="5.28515625" customWidth="1"/>
    <col min="2" max="2" width="13.28515625" customWidth="1"/>
    <col min="3" max="4" width="5.7109375" customWidth="1"/>
    <col min="5" max="5" width="8" customWidth="1"/>
    <col min="6" max="6" width="19" customWidth="1"/>
    <col min="7" max="7" width="15.28515625" customWidth="1"/>
    <col min="8" max="8" width="6.85546875" customWidth="1"/>
    <col min="9" max="10" width="15.28515625" customWidth="1"/>
    <col min="11" max="11" width="13.28515625" customWidth="1"/>
    <col min="12" max="12" width="1.5703125" customWidth="1"/>
    <col min="13" max="13" width="9.5703125" customWidth="1"/>
    <col min="14" max="14" width="5.28515625" customWidth="1"/>
  </cols>
  <sheetData>
    <row r="1" spans="1:14" ht="21" customHeight="1">
      <c r="A1" s="238" t="s">
        <v>2800</v>
      </c>
      <c r="B1" s="191"/>
      <c r="C1" s="191"/>
      <c r="D1" s="191"/>
      <c r="E1" s="191"/>
      <c r="F1" s="191"/>
      <c r="G1" s="191"/>
      <c r="H1" s="191"/>
      <c r="I1" s="191"/>
      <c r="J1" s="191"/>
      <c r="K1" s="191"/>
    </row>
    <row r="2" spans="1:14" ht="16.5" customHeight="1">
      <c r="A2" s="239" t="s">
        <v>2801</v>
      </c>
      <c r="B2" s="191"/>
      <c r="C2" s="191"/>
      <c r="D2" s="191"/>
      <c r="E2" s="191"/>
      <c r="F2" s="191"/>
      <c r="G2" s="191"/>
      <c r="H2" s="191"/>
      <c r="I2" s="191"/>
      <c r="J2" s="191"/>
      <c r="K2" s="191"/>
    </row>
    <row r="3" spans="1:14" ht="15" customHeight="1">
      <c r="A3" s="88" t="s">
        <v>184</v>
      </c>
    </row>
    <row r="4" spans="1:14" ht="27.95" customHeight="1">
      <c r="A4" s="82" t="s">
        <v>2802</v>
      </c>
      <c r="B4" s="82" t="s">
        <v>2803</v>
      </c>
      <c r="C4" s="82" t="s">
        <v>2804</v>
      </c>
      <c r="D4" s="82" t="s">
        <v>2805</v>
      </c>
      <c r="E4" s="82" t="s">
        <v>871</v>
      </c>
      <c r="F4" s="82" t="s">
        <v>2806</v>
      </c>
      <c r="G4" s="82" t="s">
        <v>2807</v>
      </c>
      <c r="H4" s="82" t="s">
        <v>2808</v>
      </c>
      <c r="I4" s="82" t="s">
        <v>2809</v>
      </c>
      <c r="J4" s="82" t="s">
        <v>2810</v>
      </c>
      <c r="K4" s="82" t="s">
        <v>2811</v>
      </c>
      <c r="M4" s="247" t="s">
        <v>2812</v>
      </c>
      <c r="N4" s="191"/>
    </row>
    <row r="5" spans="1:14" ht="40.5">
      <c r="A5" s="28" t="s">
        <v>2813</v>
      </c>
      <c r="B5" s="568" t="s">
        <v>31</v>
      </c>
      <c r="C5" s="29">
        <v>1</v>
      </c>
      <c r="D5" s="29">
        <v>1</v>
      </c>
      <c r="E5" s="28" t="s">
        <v>877</v>
      </c>
      <c r="F5" s="568" t="s">
        <v>2814</v>
      </c>
      <c r="G5" s="568" t="s">
        <v>2815</v>
      </c>
      <c r="H5" s="141" t="s">
        <v>2816</v>
      </c>
      <c r="I5" s="568" t="s">
        <v>2817</v>
      </c>
      <c r="J5" s="568" t="s">
        <v>2818</v>
      </c>
      <c r="K5" s="568" t="s">
        <v>2819</v>
      </c>
      <c r="M5" s="109" t="s">
        <v>2820</v>
      </c>
      <c r="N5" s="42">
        <f>COUNTA(A5:A16)</f>
        <v>12</v>
      </c>
    </row>
    <row r="6" spans="1:14" ht="54">
      <c r="A6" s="31" t="s">
        <v>884</v>
      </c>
      <c r="B6" s="463" t="s">
        <v>2821</v>
      </c>
      <c r="C6" s="32">
        <v>2</v>
      </c>
      <c r="D6" s="32">
        <v>3</v>
      </c>
      <c r="E6" s="31" t="s">
        <v>877</v>
      </c>
      <c r="F6" s="463" t="s">
        <v>885</v>
      </c>
      <c r="G6" s="463" t="s">
        <v>2822</v>
      </c>
      <c r="H6" s="142" t="s">
        <v>1524</v>
      </c>
      <c r="I6" s="463" t="s">
        <v>2823</v>
      </c>
      <c r="J6" s="463" t="s">
        <v>2824</v>
      </c>
      <c r="K6" s="463" t="s">
        <v>2825</v>
      </c>
      <c r="M6" s="109" t="s">
        <v>2826</v>
      </c>
      <c r="N6" s="42">
        <f>SUM(C5:C16)</f>
        <v>16</v>
      </c>
    </row>
    <row r="7" spans="1:14" ht="54">
      <c r="A7" s="28" t="s">
        <v>2827</v>
      </c>
      <c r="B7" s="568" t="s">
        <v>2828</v>
      </c>
      <c r="C7" s="29">
        <v>2</v>
      </c>
      <c r="D7" s="29">
        <v>3</v>
      </c>
      <c r="E7" s="28" t="s">
        <v>877</v>
      </c>
      <c r="F7" s="568" t="s">
        <v>2829</v>
      </c>
      <c r="G7" s="568" t="s">
        <v>2830</v>
      </c>
      <c r="H7" s="142" t="s">
        <v>1524</v>
      </c>
      <c r="I7" s="568" t="s">
        <v>2831</v>
      </c>
      <c r="J7" s="568" t="s">
        <v>2832</v>
      </c>
      <c r="K7" s="568" t="s">
        <v>2833</v>
      </c>
      <c r="M7" s="109" t="s">
        <v>2834</v>
      </c>
      <c r="N7" s="42">
        <f>SUM(D5:D16)</f>
        <v>21</v>
      </c>
    </row>
    <row r="8" spans="1:14" ht="54">
      <c r="A8" s="31" t="s">
        <v>2835</v>
      </c>
      <c r="B8" s="463" t="s">
        <v>2836</v>
      </c>
      <c r="C8" s="32">
        <v>1</v>
      </c>
      <c r="D8" s="32">
        <v>1</v>
      </c>
      <c r="E8" s="31" t="s">
        <v>877</v>
      </c>
      <c r="F8" s="463" t="s">
        <v>2837</v>
      </c>
      <c r="G8" s="463" t="s">
        <v>2838</v>
      </c>
      <c r="H8" s="141" t="s">
        <v>1493</v>
      </c>
      <c r="I8" s="463" t="s">
        <v>2839</v>
      </c>
      <c r="J8" s="463" t="s">
        <v>2840</v>
      </c>
      <c r="K8" s="463" t="s">
        <v>2841</v>
      </c>
      <c r="M8" s="109" t="s">
        <v>2842</v>
      </c>
      <c r="N8" s="42">
        <f>N7-N6</f>
        <v>5</v>
      </c>
    </row>
    <row r="9" spans="1:14" ht="40.5">
      <c r="A9" s="28" t="s">
        <v>2843</v>
      </c>
      <c r="B9" s="568" t="s">
        <v>2844</v>
      </c>
      <c r="C9" s="29">
        <v>1</v>
      </c>
      <c r="D9" s="29">
        <v>1</v>
      </c>
      <c r="E9" s="28" t="s">
        <v>877</v>
      </c>
      <c r="F9" s="568" t="s">
        <v>2845</v>
      </c>
      <c r="G9" s="568" t="s">
        <v>2846</v>
      </c>
      <c r="H9" s="142" t="s">
        <v>1524</v>
      </c>
      <c r="I9" s="568" t="s">
        <v>2847</v>
      </c>
      <c r="J9" s="568" t="s">
        <v>882</v>
      </c>
      <c r="K9" s="568" t="s">
        <v>882</v>
      </c>
      <c r="M9" s="109" t="s">
        <v>2848</v>
      </c>
      <c r="N9" s="42">
        <f>COUNTIF(E5:E16,"Internal FTE")</f>
        <v>8</v>
      </c>
    </row>
    <row r="10" spans="1:14" ht="40.5">
      <c r="A10" s="31" t="s">
        <v>880</v>
      </c>
      <c r="B10" s="463" t="s">
        <v>2849</v>
      </c>
      <c r="C10" s="32">
        <v>1</v>
      </c>
      <c r="D10" s="32">
        <v>1</v>
      </c>
      <c r="E10" s="31" t="s">
        <v>877</v>
      </c>
      <c r="F10" s="463" t="s">
        <v>881</v>
      </c>
      <c r="G10" s="463" t="s">
        <v>2850</v>
      </c>
      <c r="H10" s="142" t="s">
        <v>1524</v>
      </c>
      <c r="I10" s="463" t="s">
        <v>2851</v>
      </c>
      <c r="J10" s="463" t="s">
        <v>882</v>
      </c>
      <c r="K10" s="463" t="s">
        <v>2852</v>
      </c>
      <c r="M10" s="109" t="s">
        <v>2853</v>
      </c>
      <c r="N10" s="42">
        <f>COUNTIF(E5:E16,"Outsourced")+COUNTIF(E5:E16,"Managed Service")+COUNTIF(E5:E16,"Contractor")+COUNTIF(E5:E16,"Hybrid")</f>
        <v>4</v>
      </c>
    </row>
    <row r="11" spans="1:14" ht="40.5">
      <c r="A11" s="28" t="s">
        <v>2854</v>
      </c>
      <c r="B11" s="568" t="s">
        <v>2855</v>
      </c>
      <c r="C11" s="29">
        <v>1</v>
      </c>
      <c r="D11" s="29">
        <v>2</v>
      </c>
      <c r="E11" s="28" t="s">
        <v>877</v>
      </c>
      <c r="F11" s="568" t="s">
        <v>2856</v>
      </c>
      <c r="G11" s="568" t="s">
        <v>2857</v>
      </c>
      <c r="H11" s="142" t="s">
        <v>1524</v>
      </c>
      <c r="I11" s="568" t="s">
        <v>2858</v>
      </c>
      <c r="J11" s="568" t="s">
        <v>2859</v>
      </c>
      <c r="K11" s="568" t="s">
        <v>2860</v>
      </c>
      <c r="M11" s="109" t="s">
        <v>2861</v>
      </c>
      <c r="N11" s="42">
        <f>COUNTIF(H5:H16,"High*")</f>
        <v>2</v>
      </c>
    </row>
    <row r="12" spans="1:14" ht="40.5">
      <c r="A12" s="31" t="s">
        <v>2862</v>
      </c>
      <c r="B12" s="463" t="s">
        <v>2863</v>
      </c>
      <c r="C12" s="32">
        <v>1</v>
      </c>
      <c r="D12" s="32">
        <v>2</v>
      </c>
      <c r="E12" s="31" t="s">
        <v>877</v>
      </c>
      <c r="F12" s="463" t="s">
        <v>2864</v>
      </c>
      <c r="G12" s="463" t="s">
        <v>2865</v>
      </c>
      <c r="H12" s="142" t="s">
        <v>1524</v>
      </c>
      <c r="I12" s="463" t="s">
        <v>2866</v>
      </c>
      <c r="J12" s="463" t="s">
        <v>2859</v>
      </c>
      <c r="K12" s="463" t="s">
        <v>2867</v>
      </c>
      <c r="M12" s="109" t="s">
        <v>2868</v>
      </c>
      <c r="N12" s="42">
        <f>N7-N6</f>
        <v>5</v>
      </c>
    </row>
    <row r="13" spans="1:14" ht="40.5">
      <c r="A13" s="28" t="s">
        <v>2869</v>
      </c>
      <c r="B13" s="568" t="s">
        <v>2870</v>
      </c>
      <c r="C13" s="29">
        <v>2</v>
      </c>
      <c r="D13" s="29">
        <v>2</v>
      </c>
      <c r="E13" s="28" t="s">
        <v>2871</v>
      </c>
      <c r="F13" s="568" t="s">
        <v>2872</v>
      </c>
      <c r="G13" s="568" t="s">
        <v>2873</v>
      </c>
      <c r="H13" s="142" t="s">
        <v>2874</v>
      </c>
      <c r="I13" s="568" t="s">
        <v>2875</v>
      </c>
      <c r="J13" s="568" t="s">
        <v>2876</v>
      </c>
      <c r="K13" s="568" t="s">
        <v>2877</v>
      </c>
    </row>
    <row r="14" spans="1:14" ht="40.5">
      <c r="A14" s="31" t="s">
        <v>2878</v>
      </c>
      <c r="B14" s="463" t="s">
        <v>2879</v>
      </c>
      <c r="C14" s="32">
        <v>2</v>
      </c>
      <c r="D14" s="32">
        <v>2</v>
      </c>
      <c r="E14" s="31" t="s">
        <v>2880</v>
      </c>
      <c r="F14" s="463" t="s">
        <v>2881</v>
      </c>
      <c r="G14" s="463" t="s">
        <v>2882</v>
      </c>
      <c r="H14" s="142" t="s">
        <v>1524</v>
      </c>
      <c r="I14" s="463" t="s">
        <v>2883</v>
      </c>
      <c r="J14" s="463" t="s">
        <v>882</v>
      </c>
      <c r="K14" s="463" t="s">
        <v>882</v>
      </c>
    </row>
    <row r="15" spans="1:14" ht="27">
      <c r="A15" s="28" t="s">
        <v>2884</v>
      </c>
      <c r="B15" s="568" t="s">
        <v>2885</v>
      </c>
      <c r="C15" s="29">
        <v>1</v>
      </c>
      <c r="D15" s="29">
        <v>2</v>
      </c>
      <c r="E15" s="28" t="s">
        <v>1089</v>
      </c>
      <c r="F15" s="568" t="s">
        <v>2886</v>
      </c>
      <c r="G15" s="568" t="s">
        <v>2887</v>
      </c>
      <c r="H15" s="142" t="s">
        <v>1524</v>
      </c>
      <c r="I15" s="568" t="s">
        <v>2888</v>
      </c>
      <c r="J15" s="568" t="s">
        <v>2832</v>
      </c>
      <c r="K15" s="568" t="s">
        <v>2833</v>
      </c>
    </row>
    <row r="16" spans="1:14" ht="54">
      <c r="A16" s="31" t="s">
        <v>2889</v>
      </c>
      <c r="B16" s="463" t="s">
        <v>2890</v>
      </c>
      <c r="C16" s="32">
        <v>1</v>
      </c>
      <c r="D16" s="32">
        <v>1</v>
      </c>
      <c r="E16" s="31" t="s">
        <v>2891</v>
      </c>
      <c r="F16" s="463" t="s">
        <v>2892</v>
      </c>
      <c r="G16" s="463" t="s">
        <v>527</v>
      </c>
      <c r="H16" s="143" t="s">
        <v>2893</v>
      </c>
      <c r="I16" s="463" t="s">
        <v>2894</v>
      </c>
      <c r="J16" s="463" t="s">
        <v>2895</v>
      </c>
      <c r="K16" s="463" t="s">
        <v>2896</v>
      </c>
    </row>
    <row r="17" spans="2:11">
      <c r="B17" s="569"/>
      <c r="F17" s="569"/>
      <c r="G17" s="569"/>
      <c r="I17" s="569"/>
      <c r="J17" s="569"/>
      <c r="K17" s="569"/>
    </row>
    <row r="18" spans="2:11">
      <c r="B18" s="569"/>
      <c r="F18" s="569"/>
      <c r="G18" s="569"/>
      <c r="I18" s="569"/>
      <c r="J18" s="569"/>
      <c r="K18" s="569"/>
    </row>
    <row r="19" spans="2:11">
      <c r="B19" s="569"/>
      <c r="F19" s="569"/>
      <c r="G19" s="569"/>
      <c r="I19" s="569"/>
      <c r="J19" s="569"/>
      <c r="K19" s="569"/>
    </row>
    <row r="20" spans="2:11">
      <c r="B20" s="569"/>
      <c r="F20" s="569"/>
      <c r="G20" s="569"/>
      <c r="I20" s="569"/>
      <c r="J20" s="569"/>
      <c r="K20" s="569"/>
    </row>
  </sheetData>
  <mergeCells count="3">
    <mergeCell ref="A1:K1"/>
    <mergeCell ref="A2:K2"/>
    <mergeCell ref="M4:N4"/>
  </mergeCells>
  <pageMargins left="0.7" right="0.7" top="0.75" bottom="0.75" header="0.3" footer="0.3"/>
  <pageSetup orientation="portrait"/>
  <headerFooter>
    <oddHeader>&amp;L&amp;C&amp;R</oddHeader>
    <oddFooter>&amp;L&amp;C&amp;R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CD5D9-4A5B-9D18-DD22-BCC6076630D9}">
  <dimension ref="A1:L34"/>
  <sheetViews>
    <sheetView topLeftCell="J1" workbookViewId="0">
      <pane ySplit="4" topLeftCell="A5" activePane="bottomLeft" state="frozen"/>
      <selection pane="bottomLeft" activeCell="K4" sqref="K4:L4"/>
    </sheetView>
  </sheetViews>
  <sheetFormatPr defaultColWidth="8.85546875" defaultRowHeight="15" customHeight="1"/>
  <cols>
    <col min="1" max="1" width="16" bestFit="1" customWidth="1"/>
    <col min="2" max="2" width="65" bestFit="1" customWidth="1"/>
    <col min="3" max="3" width="19.7109375" bestFit="1" customWidth="1"/>
    <col min="4" max="4" width="12" customWidth="1"/>
    <col min="5" max="5" width="11.5703125" bestFit="1" customWidth="1"/>
    <col min="6" max="6" width="18.7109375" bestFit="1" customWidth="1"/>
    <col min="7" max="7" width="18.85546875" bestFit="1" customWidth="1"/>
    <col min="8" max="8" width="8.7109375" bestFit="1" customWidth="1"/>
    <col min="9" max="9" width="39.140625" bestFit="1" customWidth="1"/>
    <col min="11" max="11" width="17.42578125" bestFit="1" customWidth="1"/>
    <col min="12" max="12" width="6.5703125" bestFit="1" customWidth="1"/>
  </cols>
  <sheetData>
    <row r="1" spans="1:12" ht="18.75">
      <c r="A1" s="198" t="s">
        <v>2897</v>
      </c>
      <c r="B1" s="191"/>
      <c r="C1" s="191"/>
      <c r="D1" s="191"/>
      <c r="E1" s="191"/>
      <c r="F1" s="191"/>
      <c r="G1" s="191"/>
      <c r="H1" s="191"/>
      <c r="I1" s="191"/>
    </row>
    <row r="2" spans="1:12">
      <c r="A2" s="248" t="s">
        <v>2898</v>
      </c>
      <c r="B2" s="191"/>
      <c r="C2" s="191"/>
      <c r="D2" s="191"/>
      <c r="E2" s="191"/>
      <c r="F2" s="191"/>
      <c r="G2" s="191"/>
      <c r="H2" s="191"/>
      <c r="I2" s="191"/>
    </row>
    <row r="3" spans="1:12">
      <c r="A3" s="10" t="s">
        <v>184</v>
      </c>
    </row>
    <row r="4" spans="1:12">
      <c r="A4" s="132" t="s">
        <v>2899</v>
      </c>
      <c r="B4" s="132" t="s">
        <v>2900</v>
      </c>
      <c r="C4" s="132" t="s">
        <v>523</v>
      </c>
      <c r="D4" s="132" t="s">
        <v>2901</v>
      </c>
      <c r="E4" s="132" t="s">
        <v>524</v>
      </c>
      <c r="F4" s="132" t="s">
        <v>2902</v>
      </c>
      <c r="G4" s="132" t="s">
        <v>17</v>
      </c>
      <c r="H4" s="132" t="s">
        <v>1002</v>
      </c>
      <c r="I4" s="132" t="s">
        <v>2903</v>
      </c>
      <c r="K4" s="249" t="s">
        <v>2904</v>
      </c>
      <c r="L4" s="191"/>
    </row>
    <row r="5" spans="1:12">
      <c r="A5" s="43" t="s">
        <v>2905</v>
      </c>
      <c r="B5" s="144" t="s">
        <v>2906</v>
      </c>
      <c r="C5" s="43" t="s">
        <v>2907</v>
      </c>
      <c r="D5" s="145" t="s">
        <v>392</v>
      </c>
      <c r="E5" s="146">
        <v>145</v>
      </c>
      <c r="F5" s="146">
        <f t="shared" ref="F5:F34" si="0">E5/12</f>
        <v>12.083333333333334</v>
      </c>
      <c r="G5" s="43" t="s">
        <v>31</v>
      </c>
      <c r="H5" s="146"/>
      <c r="I5" s="144" t="s">
        <v>2908</v>
      </c>
      <c r="K5" s="147" t="s">
        <v>2909</v>
      </c>
      <c r="L5" s="148">
        <f>E23</f>
        <v>4786</v>
      </c>
    </row>
    <row r="6" spans="1:12">
      <c r="A6" s="51" t="s">
        <v>2910</v>
      </c>
      <c r="B6" s="149" t="s">
        <v>2911</v>
      </c>
      <c r="C6" s="51" t="s">
        <v>2907</v>
      </c>
      <c r="D6" s="145" t="s">
        <v>392</v>
      </c>
      <c r="E6" s="150">
        <v>315</v>
      </c>
      <c r="F6" s="150">
        <f t="shared" si="0"/>
        <v>26.25</v>
      </c>
      <c r="G6" s="51" t="s">
        <v>31</v>
      </c>
      <c r="H6" s="151">
        <v>-35</v>
      </c>
      <c r="I6" s="149" t="s">
        <v>2912</v>
      </c>
      <c r="K6" s="147" t="s">
        <v>2913</v>
      </c>
      <c r="L6" s="148">
        <f t="shared" ref="L6:L8" si="1">E32</f>
        <v>1080</v>
      </c>
    </row>
    <row r="7" spans="1:12">
      <c r="A7" s="43" t="s">
        <v>2914</v>
      </c>
      <c r="B7" s="144" t="s">
        <v>2915</v>
      </c>
      <c r="C7" s="43" t="s">
        <v>2907</v>
      </c>
      <c r="D7" s="145" t="s">
        <v>392</v>
      </c>
      <c r="E7" s="146">
        <v>300</v>
      </c>
      <c r="F7" s="146">
        <f t="shared" si="0"/>
        <v>25</v>
      </c>
      <c r="G7" s="43" t="s">
        <v>31</v>
      </c>
      <c r="H7" s="151">
        <v>-30</v>
      </c>
      <c r="I7" s="144" t="s">
        <v>2916</v>
      </c>
      <c r="K7" s="147" t="s">
        <v>394</v>
      </c>
      <c r="L7" s="148">
        <f t="shared" si="1"/>
        <v>293.3</v>
      </c>
    </row>
    <row r="8" spans="1:12">
      <c r="A8" s="51" t="s">
        <v>2917</v>
      </c>
      <c r="B8" s="149" t="s">
        <v>2836</v>
      </c>
      <c r="C8" s="51" t="s">
        <v>2907</v>
      </c>
      <c r="D8" s="145" t="s">
        <v>392</v>
      </c>
      <c r="E8" s="150">
        <v>120</v>
      </c>
      <c r="F8" s="150">
        <f t="shared" si="0"/>
        <v>10</v>
      </c>
      <c r="G8" s="51" t="s">
        <v>31</v>
      </c>
      <c r="H8" s="150"/>
      <c r="I8" s="149" t="s">
        <v>882</v>
      </c>
      <c r="K8" s="147" t="s">
        <v>2918</v>
      </c>
      <c r="L8" s="148">
        <f t="shared" si="1"/>
        <v>6159.3</v>
      </c>
    </row>
    <row r="9" spans="1:12">
      <c r="A9" s="43" t="s">
        <v>2919</v>
      </c>
      <c r="B9" s="144" t="s">
        <v>2844</v>
      </c>
      <c r="C9" s="43" t="s">
        <v>2907</v>
      </c>
      <c r="D9" s="145" t="s">
        <v>392</v>
      </c>
      <c r="E9" s="146">
        <v>110</v>
      </c>
      <c r="F9" s="146">
        <f t="shared" si="0"/>
        <v>9.1666666666666661</v>
      </c>
      <c r="G9" s="43" t="s">
        <v>31</v>
      </c>
      <c r="H9" s="146"/>
      <c r="I9" s="144" t="s">
        <v>882</v>
      </c>
      <c r="K9" s="147" t="s">
        <v>2920</v>
      </c>
      <c r="L9" s="152">
        <f>E23/E34</f>
        <v>0.77703635153345341</v>
      </c>
    </row>
    <row r="10" spans="1:12">
      <c r="A10" s="51" t="s">
        <v>2921</v>
      </c>
      <c r="B10" s="149" t="s">
        <v>2849</v>
      </c>
      <c r="C10" s="51" t="s">
        <v>2907</v>
      </c>
      <c r="D10" s="145" t="s">
        <v>392</v>
      </c>
      <c r="E10" s="150">
        <v>95</v>
      </c>
      <c r="F10" s="150">
        <f t="shared" si="0"/>
        <v>7.916666666666667</v>
      </c>
      <c r="G10" s="51" t="s">
        <v>663</v>
      </c>
      <c r="H10" s="150"/>
      <c r="I10" s="149" t="s">
        <v>2922</v>
      </c>
      <c r="K10" s="147" t="s">
        <v>2923</v>
      </c>
      <c r="L10" s="152">
        <f>E32/E34</f>
        <v>0.17534460084749889</v>
      </c>
    </row>
    <row r="11" spans="1:12">
      <c r="A11" s="43" t="s">
        <v>2924</v>
      </c>
      <c r="B11" s="144" t="s">
        <v>2925</v>
      </c>
      <c r="C11" s="43" t="s">
        <v>2907</v>
      </c>
      <c r="D11" s="145" t="s">
        <v>392</v>
      </c>
      <c r="E11" s="146">
        <v>160</v>
      </c>
      <c r="F11" s="146">
        <f t="shared" si="0"/>
        <v>13.333333333333334</v>
      </c>
      <c r="G11" s="43" t="s">
        <v>31</v>
      </c>
      <c r="H11" s="151">
        <v>-15</v>
      </c>
      <c r="I11" s="144" t="s">
        <v>2916</v>
      </c>
      <c r="K11" s="147" t="s">
        <v>2926</v>
      </c>
      <c r="L11" s="148">
        <f>H34</f>
        <v>-58</v>
      </c>
    </row>
    <row r="12" spans="1:12">
      <c r="A12" s="51" t="s">
        <v>2927</v>
      </c>
      <c r="B12" s="149" t="s">
        <v>2928</v>
      </c>
      <c r="C12" s="51" t="s">
        <v>2907</v>
      </c>
      <c r="D12" s="145" t="s">
        <v>392</v>
      </c>
      <c r="E12" s="150">
        <v>140</v>
      </c>
      <c r="F12" s="150">
        <f t="shared" si="0"/>
        <v>11.666666666666666</v>
      </c>
      <c r="G12" s="51" t="s">
        <v>31</v>
      </c>
      <c r="H12" s="151">
        <v>-15</v>
      </c>
      <c r="I12" s="149" t="s">
        <v>2916</v>
      </c>
      <c r="K12" s="147" t="s">
        <v>2929</v>
      </c>
      <c r="L12" s="148">
        <f>SUMIF(C5:C22,"Staff - Run",H5:H22)</f>
        <v>-95</v>
      </c>
    </row>
    <row r="13" spans="1:12">
      <c r="A13" s="43" t="s">
        <v>2930</v>
      </c>
      <c r="B13" s="144" t="s">
        <v>2931</v>
      </c>
      <c r="C13" s="43" t="s">
        <v>2932</v>
      </c>
      <c r="D13" s="145" t="s">
        <v>392</v>
      </c>
      <c r="E13" s="146">
        <v>420</v>
      </c>
      <c r="F13" s="146">
        <f t="shared" si="0"/>
        <v>35</v>
      </c>
      <c r="G13" s="43" t="s">
        <v>31</v>
      </c>
      <c r="H13" s="153">
        <v>10</v>
      </c>
      <c r="I13" s="144" t="s">
        <v>2933</v>
      </c>
    </row>
    <row r="14" spans="1:12">
      <c r="A14" s="51" t="s">
        <v>2934</v>
      </c>
      <c r="B14" s="149" t="s">
        <v>2935</v>
      </c>
      <c r="C14" s="51" t="s">
        <v>2932</v>
      </c>
      <c r="D14" s="145" t="s">
        <v>392</v>
      </c>
      <c r="E14" s="150">
        <v>180</v>
      </c>
      <c r="F14" s="150">
        <f t="shared" si="0"/>
        <v>15</v>
      </c>
      <c r="G14" s="51" t="s">
        <v>570</v>
      </c>
      <c r="H14" s="150"/>
      <c r="I14" s="149" t="s">
        <v>2936</v>
      </c>
    </row>
    <row r="15" spans="1:12">
      <c r="A15" s="43" t="s">
        <v>2937</v>
      </c>
      <c r="B15" s="144" t="s">
        <v>2938</v>
      </c>
      <c r="C15" s="43" t="s">
        <v>2939</v>
      </c>
      <c r="D15" s="145" t="s">
        <v>392</v>
      </c>
      <c r="E15" s="146">
        <v>850</v>
      </c>
      <c r="F15" s="146">
        <f t="shared" si="0"/>
        <v>70.833333333333329</v>
      </c>
      <c r="G15" s="43" t="s">
        <v>991</v>
      </c>
      <c r="H15" s="153">
        <v>15</v>
      </c>
      <c r="I15" s="144" t="s">
        <v>2940</v>
      </c>
    </row>
    <row r="16" spans="1:12">
      <c r="A16" s="51" t="s">
        <v>2941</v>
      </c>
      <c r="B16" s="149" t="s">
        <v>2942</v>
      </c>
      <c r="C16" s="51" t="s">
        <v>2939</v>
      </c>
      <c r="D16" s="145" t="s">
        <v>392</v>
      </c>
      <c r="E16" s="150">
        <v>420</v>
      </c>
      <c r="F16" s="150">
        <f t="shared" si="0"/>
        <v>35</v>
      </c>
      <c r="G16" s="51" t="s">
        <v>991</v>
      </c>
      <c r="H16" s="150"/>
      <c r="I16" s="149" t="s">
        <v>882</v>
      </c>
    </row>
    <row r="17" spans="1:9">
      <c r="A17" s="43" t="s">
        <v>2943</v>
      </c>
      <c r="B17" s="144" t="s">
        <v>2944</v>
      </c>
      <c r="C17" s="43" t="s">
        <v>2945</v>
      </c>
      <c r="D17" s="145" t="s">
        <v>392</v>
      </c>
      <c r="E17" s="146">
        <v>216</v>
      </c>
      <c r="F17" s="146">
        <f t="shared" si="0"/>
        <v>18</v>
      </c>
      <c r="G17" s="43" t="s">
        <v>991</v>
      </c>
      <c r="H17" s="146"/>
      <c r="I17" s="144" t="s">
        <v>2946</v>
      </c>
    </row>
    <row r="18" spans="1:9">
      <c r="A18" s="51" t="s">
        <v>2947</v>
      </c>
      <c r="B18" s="149" t="s">
        <v>2948</v>
      </c>
      <c r="C18" s="51" t="s">
        <v>2939</v>
      </c>
      <c r="D18" s="145" t="s">
        <v>392</v>
      </c>
      <c r="E18" s="150">
        <v>180</v>
      </c>
      <c r="F18" s="150">
        <f t="shared" si="0"/>
        <v>15</v>
      </c>
      <c r="G18" s="51" t="s">
        <v>991</v>
      </c>
      <c r="H18" s="153">
        <v>12</v>
      </c>
      <c r="I18" s="149" t="s">
        <v>2949</v>
      </c>
    </row>
    <row r="19" spans="1:9">
      <c r="A19" s="43" t="s">
        <v>2950</v>
      </c>
      <c r="B19" s="144" t="s">
        <v>2951</v>
      </c>
      <c r="C19" s="43" t="s">
        <v>2932</v>
      </c>
      <c r="D19" s="145" t="s">
        <v>392</v>
      </c>
      <c r="E19" s="146">
        <v>720</v>
      </c>
      <c r="F19" s="146">
        <f t="shared" si="0"/>
        <v>60</v>
      </c>
      <c r="G19" s="43" t="s">
        <v>2952</v>
      </c>
      <c r="H19" s="146"/>
      <c r="I19" s="144" t="s">
        <v>2953</v>
      </c>
    </row>
    <row r="20" spans="1:9">
      <c r="A20" s="51" t="s">
        <v>2954</v>
      </c>
      <c r="B20" s="149" t="s">
        <v>2309</v>
      </c>
      <c r="C20" s="51" t="s">
        <v>2945</v>
      </c>
      <c r="D20" s="145" t="s">
        <v>392</v>
      </c>
      <c r="E20" s="150">
        <v>210</v>
      </c>
      <c r="F20" s="150">
        <f t="shared" si="0"/>
        <v>17.5</v>
      </c>
      <c r="G20" s="51" t="s">
        <v>570</v>
      </c>
      <c r="H20" s="150"/>
      <c r="I20" s="149" t="s">
        <v>2955</v>
      </c>
    </row>
    <row r="21" spans="1:9">
      <c r="A21" s="43" t="s">
        <v>2956</v>
      </c>
      <c r="B21" s="144" t="s">
        <v>2957</v>
      </c>
      <c r="C21" s="43" t="s">
        <v>2945</v>
      </c>
      <c r="D21" s="145" t="s">
        <v>392</v>
      </c>
      <c r="E21" s="146">
        <v>85</v>
      </c>
      <c r="F21" s="146">
        <f t="shared" si="0"/>
        <v>7.083333333333333</v>
      </c>
      <c r="G21" s="43" t="s">
        <v>663</v>
      </c>
      <c r="H21" s="146"/>
      <c r="I21" s="144" t="s">
        <v>2958</v>
      </c>
    </row>
    <row r="22" spans="1:9">
      <c r="A22" s="51" t="s">
        <v>2959</v>
      </c>
      <c r="B22" s="149" t="s">
        <v>2960</v>
      </c>
      <c r="C22" s="51" t="s">
        <v>2945</v>
      </c>
      <c r="D22" s="145" t="s">
        <v>392</v>
      </c>
      <c r="E22" s="150">
        <v>120</v>
      </c>
      <c r="F22" s="150">
        <f t="shared" si="0"/>
        <v>10</v>
      </c>
      <c r="G22" s="51" t="s">
        <v>570</v>
      </c>
      <c r="H22" s="150"/>
      <c r="I22" s="149" t="s">
        <v>2961</v>
      </c>
    </row>
    <row r="23" spans="1:9">
      <c r="A23" s="154" t="s">
        <v>2962</v>
      </c>
      <c r="B23" s="155" t="s">
        <v>2963</v>
      </c>
      <c r="C23" s="154"/>
      <c r="D23" s="156" t="s">
        <v>392</v>
      </c>
      <c r="E23" s="157">
        <f>SUMIF(D5:D22,"Run",E5:E22)</f>
        <v>4786</v>
      </c>
      <c r="F23" s="157">
        <f t="shared" si="0"/>
        <v>398.83333333333331</v>
      </c>
      <c r="G23" s="154"/>
      <c r="H23" s="158">
        <f>SUMIF(D5:D22,"Run",H5:H22)</f>
        <v>-58</v>
      </c>
      <c r="I23" s="155"/>
    </row>
    <row r="24" spans="1:9">
      <c r="A24" s="43" t="s">
        <v>2964</v>
      </c>
      <c r="B24" s="144" t="s">
        <v>2965</v>
      </c>
      <c r="C24" s="43" t="s">
        <v>528</v>
      </c>
      <c r="D24" s="159" t="s">
        <v>393</v>
      </c>
      <c r="E24" s="146">
        <v>240</v>
      </c>
      <c r="F24" s="146">
        <f t="shared" si="0"/>
        <v>20</v>
      </c>
      <c r="G24" s="43" t="s">
        <v>31</v>
      </c>
      <c r="H24" s="146"/>
      <c r="I24" s="144" t="s">
        <v>2966</v>
      </c>
    </row>
    <row r="25" spans="1:9">
      <c r="A25" s="51" t="s">
        <v>2967</v>
      </c>
      <c r="B25" s="149" t="s">
        <v>2968</v>
      </c>
      <c r="C25" s="51" t="s">
        <v>528</v>
      </c>
      <c r="D25" s="159" t="s">
        <v>393</v>
      </c>
      <c r="E25" s="150">
        <v>180</v>
      </c>
      <c r="F25" s="150">
        <f t="shared" si="0"/>
        <v>15</v>
      </c>
      <c r="G25" s="51" t="s">
        <v>570</v>
      </c>
      <c r="H25" s="150"/>
      <c r="I25" s="149" t="s">
        <v>2969</v>
      </c>
    </row>
    <row r="26" spans="1:9">
      <c r="A26" s="43" t="s">
        <v>2970</v>
      </c>
      <c r="B26" s="144" t="s">
        <v>534</v>
      </c>
      <c r="C26" s="43" t="s">
        <v>528</v>
      </c>
      <c r="D26" s="159" t="s">
        <v>393</v>
      </c>
      <c r="E26" s="146">
        <v>160</v>
      </c>
      <c r="F26" s="146">
        <f t="shared" si="0"/>
        <v>13.333333333333334</v>
      </c>
      <c r="G26" s="43" t="s">
        <v>570</v>
      </c>
      <c r="H26" s="146"/>
      <c r="I26" s="144" t="s">
        <v>536</v>
      </c>
    </row>
    <row r="27" spans="1:9">
      <c r="A27" s="51" t="s">
        <v>2971</v>
      </c>
      <c r="B27" s="149" t="s">
        <v>2972</v>
      </c>
      <c r="C27" s="51" t="s">
        <v>528</v>
      </c>
      <c r="D27" s="159" t="s">
        <v>393</v>
      </c>
      <c r="E27" s="150">
        <v>120</v>
      </c>
      <c r="F27" s="150">
        <f t="shared" si="0"/>
        <v>10</v>
      </c>
      <c r="G27" s="51" t="s">
        <v>991</v>
      </c>
      <c r="H27" s="150"/>
      <c r="I27" s="149" t="s">
        <v>2973</v>
      </c>
    </row>
    <row r="28" spans="1:9">
      <c r="A28" s="43" t="s">
        <v>2974</v>
      </c>
      <c r="B28" s="144" t="s">
        <v>2975</v>
      </c>
      <c r="C28" s="43" t="s">
        <v>528</v>
      </c>
      <c r="D28" s="159" t="s">
        <v>393</v>
      </c>
      <c r="E28" s="146">
        <v>140</v>
      </c>
      <c r="F28" s="146">
        <f t="shared" si="0"/>
        <v>11.666666666666666</v>
      </c>
      <c r="G28" s="43" t="s">
        <v>31</v>
      </c>
      <c r="H28" s="146"/>
      <c r="I28" s="144" t="s">
        <v>530</v>
      </c>
    </row>
    <row r="29" spans="1:9">
      <c r="A29" s="51" t="s">
        <v>2976</v>
      </c>
      <c r="B29" s="149" t="s">
        <v>541</v>
      </c>
      <c r="C29" s="51" t="s">
        <v>528</v>
      </c>
      <c r="D29" s="159" t="s">
        <v>393</v>
      </c>
      <c r="E29" s="150">
        <v>100</v>
      </c>
      <c r="F29" s="150">
        <f t="shared" si="0"/>
        <v>8.3333333333333339</v>
      </c>
      <c r="G29" s="51" t="s">
        <v>31</v>
      </c>
      <c r="H29" s="150"/>
      <c r="I29" s="149" t="s">
        <v>543</v>
      </c>
    </row>
    <row r="30" spans="1:9">
      <c r="A30" s="43" t="s">
        <v>2977</v>
      </c>
      <c r="B30" s="144" t="s">
        <v>2978</v>
      </c>
      <c r="C30" s="43" t="s">
        <v>528</v>
      </c>
      <c r="D30" s="159" t="s">
        <v>393</v>
      </c>
      <c r="E30" s="146">
        <v>80</v>
      </c>
      <c r="F30" s="146">
        <f t="shared" si="0"/>
        <v>6.666666666666667</v>
      </c>
      <c r="G30" s="43" t="s">
        <v>2952</v>
      </c>
      <c r="H30" s="146"/>
      <c r="I30" s="144" t="s">
        <v>546</v>
      </c>
    </row>
    <row r="31" spans="1:9">
      <c r="A31" s="51" t="s">
        <v>2979</v>
      </c>
      <c r="B31" s="149" t="s">
        <v>2980</v>
      </c>
      <c r="C31" s="51" t="s">
        <v>528</v>
      </c>
      <c r="D31" s="159" t="s">
        <v>393</v>
      </c>
      <c r="E31" s="150">
        <v>60</v>
      </c>
      <c r="F31" s="150">
        <f t="shared" si="0"/>
        <v>5</v>
      </c>
      <c r="G31" s="51" t="s">
        <v>31</v>
      </c>
      <c r="H31" s="150"/>
      <c r="I31" s="149" t="s">
        <v>2981</v>
      </c>
    </row>
    <row r="32" spans="1:9">
      <c r="A32" s="154" t="s">
        <v>2982</v>
      </c>
      <c r="B32" s="155" t="s">
        <v>2983</v>
      </c>
      <c r="C32" s="154"/>
      <c r="D32" s="156" t="s">
        <v>393</v>
      </c>
      <c r="E32" s="157">
        <f>SUMIF(D5:D31,"Change",E5:E31)</f>
        <v>1080</v>
      </c>
      <c r="F32" s="157">
        <f t="shared" si="0"/>
        <v>90</v>
      </c>
      <c r="G32" s="154"/>
      <c r="H32" s="157">
        <f>SUMIF(D5:D31,"Change",H5:H31)</f>
        <v>0</v>
      </c>
      <c r="I32" s="155"/>
    </row>
    <row r="33" spans="1:9">
      <c r="A33" s="43" t="s">
        <v>2984</v>
      </c>
      <c r="B33" s="144" t="s">
        <v>2985</v>
      </c>
      <c r="C33" s="43" t="s">
        <v>394</v>
      </c>
      <c r="D33" s="160" t="s">
        <v>394</v>
      </c>
      <c r="E33" s="146">
        <f>0.05*(E23+E32)</f>
        <v>293.3</v>
      </c>
      <c r="F33" s="146">
        <f t="shared" si="0"/>
        <v>24.441666666666666</v>
      </c>
      <c r="G33" s="43" t="s">
        <v>31</v>
      </c>
      <c r="H33" s="146"/>
      <c r="I33" s="144" t="s">
        <v>2986</v>
      </c>
    </row>
    <row r="34" spans="1:9" ht="15.75">
      <c r="A34" s="161" t="s">
        <v>2918</v>
      </c>
      <c r="B34" s="162" t="s">
        <v>2987</v>
      </c>
      <c r="C34" s="161"/>
      <c r="D34" s="163"/>
      <c r="E34" s="164">
        <f>E23+E32+E33</f>
        <v>6159.3</v>
      </c>
      <c r="F34" s="164">
        <f t="shared" si="0"/>
        <v>513.27499999999998</v>
      </c>
      <c r="G34" s="161"/>
      <c r="H34" s="164">
        <f>SUM(H5:H22)+SUM(H24:H31)</f>
        <v>-58</v>
      </c>
      <c r="I34" s="162"/>
    </row>
  </sheetData>
  <mergeCells count="3">
    <mergeCell ref="A1:I1"/>
    <mergeCell ref="A2:I2"/>
    <mergeCell ref="K4:L4"/>
  </mergeCells>
  <pageMargins left="0.7" right="0.7" top="0.75" bottom="0.75" header="0.3" footer="0.3"/>
  <pageSetup orientation="portrait"/>
  <headerFooter>
    <oddHeader>&amp;L&amp;C&amp;R</oddHeader>
    <oddFooter>&amp;L&amp;C&amp;R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9DE7B-F281-EA08-3368-908C3769DBF4}">
  <dimension ref="A1:O16"/>
  <sheetViews>
    <sheetView workbookViewId="0">
      <pane ySplit="4" topLeftCell="A5" activePane="bottomLeft" state="frozen"/>
      <selection pane="bottomLeft" activeCell="M4" sqref="M4"/>
    </sheetView>
  </sheetViews>
  <sheetFormatPr defaultColWidth="8.85546875" defaultRowHeight="15" customHeight="1"/>
  <cols>
    <col min="1" max="1" width="16" bestFit="1" customWidth="1"/>
    <col min="2" max="2" width="24.42578125" bestFit="1" customWidth="1"/>
    <col min="3" max="3" width="70.7109375" bestFit="1" customWidth="1"/>
    <col min="4" max="4" width="27.85546875" bestFit="1" customWidth="1"/>
    <col min="5" max="5" width="15" bestFit="1" customWidth="1"/>
    <col min="6" max="7" width="10.42578125" bestFit="1" customWidth="1"/>
    <col min="8" max="8" width="9.85546875" bestFit="1" customWidth="1"/>
    <col min="9" max="9" width="11.7109375" bestFit="1" customWidth="1"/>
    <col min="10" max="10" width="17.85546875" bestFit="1" customWidth="1"/>
    <col min="11" max="11" width="33.42578125" bestFit="1" customWidth="1"/>
    <col min="12" max="12" width="36.7109375" bestFit="1" customWidth="1"/>
    <col min="13" max="13" width="11.5703125" bestFit="1" customWidth="1"/>
    <col min="14" max="14" width="18.28515625" bestFit="1" customWidth="1"/>
    <col min="15" max="15" width="6.7109375" bestFit="1" customWidth="1"/>
  </cols>
  <sheetData>
    <row r="1" spans="1:15" ht="18.75">
      <c r="A1" s="198" t="s">
        <v>2988</v>
      </c>
      <c r="B1" s="191"/>
      <c r="C1" s="191"/>
      <c r="D1" s="191"/>
      <c r="E1" s="191"/>
      <c r="F1" s="191"/>
      <c r="G1" s="191"/>
      <c r="H1" s="191"/>
      <c r="I1" s="191"/>
      <c r="J1" s="191"/>
      <c r="K1" s="191"/>
      <c r="L1" s="191"/>
    </row>
    <row r="2" spans="1:15">
      <c r="A2" s="199" t="s">
        <v>2989</v>
      </c>
      <c r="B2" s="191"/>
      <c r="C2" s="191"/>
      <c r="D2" s="191"/>
      <c r="E2" s="191"/>
      <c r="F2" s="191"/>
      <c r="G2" s="191"/>
      <c r="H2" s="191"/>
      <c r="I2" s="191"/>
      <c r="J2" s="191"/>
      <c r="K2" s="191"/>
      <c r="L2" s="191"/>
    </row>
    <row r="3" spans="1:15">
      <c r="A3" s="10" t="s">
        <v>184</v>
      </c>
      <c r="B3" s="11" t="s">
        <v>185</v>
      </c>
    </row>
    <row r="4" spans="1:15">
      <c r="A4" s="165" t="s">
        <v>2990</v>
      </c>
      <c r="B4" s="165" t="s">
        <v>2991</v>
      </c>
      <c r="C4" s="165" t="s">
        <v>2992</v>
      </c>
      <c r="D4" s="165" t="s">
        <v>2993</v>
      </c>
      <c r="E4" s="165" t="s">
        <v>17</v>
      </c>
      <c r="F4" s="165" t="s">
        <v>2994</v>
      </c>
      <c r="G4" s="165" t="s">
        <v>2995</v>
      </c>
      <c r="H4" s="165" t="s">
        <v>277</v>
      </c>
      <c r="I4" s="165" t="s">
        <v>2996</v>
      </c>
      <c r="J4" s="165" t="s">
        <v>2997</v>
      </c>
      <c r="K4" s="165" t="s">
        <v>2998</v>
      </c>
      <c r="L4" s="165" t="s">
        <v>2903</v>
      </c>
      <c r="M4" s="82" t="s">
        <v>2999</v>
      </c>
      <c r="N4" s="249" t="s">
        <v>3000</v>
      </c>
      <c r="O4" s="191"/>
    </row>
    <row r="5" spans="1:15">
      <c r="A5" s="45" t="s">
        <v>543</v>
      </c>
      <c r="B5" s="45" t="s">
        <v>3001</v>
      </c>
      <c r="C5" s="45" t="s">
        <v>3002</v>
      </c>
      <c r="D5" s="45" t="s">
        <v>3003</v>
      </c>
      <c r="E5" s="45" t="s">
        <v>150</v>
      </c>
      <c r="F5" s="166" t="s">
        <v>3004</v>
      </c>
      <c r="G5" s="166" t="s">
        <v>132</v>
      </c>
      <c r="H5" s="26" t="s">
        <v>1108</v>
      </c>
      <c r="I5" s="167">
        <v>0.55000000000000004</v>
      </c>
      <c r="J5" s="46" t="s">
        <v>3005</v>
      </c>
      <c r="K5" s="45" t="s">
        <v>3006</v>
      </c>
      <c r="L5" s="45" t="s">
        <v>3007</v>
      </c>
      <c r="M5" s="116"/>
      <c r="N5" s="147" t="s">
        <v>3008</v>
      </c>
      <c r="O5" s="98">
        <f>COUNTA(A5:A16)</f>
        <v>12</v>
      </c>
    </row>
    <row r="6" spans="1:15">
      <c r="A6" s="18" t="s">
        <v>533</v>
      </c>
      <c r="B6" s="18" t="s">
        <v>2642</v>
      </c>
      <c r="C6" s="18" t="s">
        <v>3009</v>
      </c>
      <c r="D6" s="18" t="s">
        <v>3010</v>
      </c>
      <c r="E6" s="18" t="s">
        <v>173</v>
      </c>
      <c r="F6" s="168" t="s">
        <v>3011</v>
      </c>
      <c r="G6" s="168" t="s">
        <v>1943</v>
      </c>
      <c r="H6" s="26" t="s">
        <v>1108</v>
      </c>
      <c r="I6" s="169">
        <v>0.4</v>
      </c>
      <c r="J6" s="19" t="s">
        <v>3005</v>
      </c>
      <c r="K6" s="18" t="s">
        <v>3012</v>
      </c>
      <c r="L6" s="18" t="s">
        <v>519</v>
      </c>
      <c r="M6" s="119"/>
      <c r="N6" s="147" t="s">
        <v>3013</v>
      </c>
      <c r="O6" s="98">
        <f>COUNTIF(H5:H16,"On Track")+COUNTIF(H5:H16,"In Progress")</f>
        <v>10</v>
      </c>
    </row>
    <row r="7" spans="1:15">
      <c r="A7" s="45" t="s">
        <v>1196</v>
      </c>
      <c r="B7" s="45" t="s">
        <v>3014</v>
      </c>
      <c r="C7" s="45" t="s">
        <v>3015</v>
      </c>
      <c r="D7" s="45" t="s">
        <v>3016</v>
      </c>
      <c r="E7" s="45" t="s">
        <v>269</v>
      </c>
      <c r="F7" s="166" t="s">
        <v>1160</v>
      </c>
      <c r="G7" s="166" t="s">
        <v>3017</v>
      </c>
      <c r="H7" s="24" t="s">
        <v>2411</v>
      </c>
      <c r="I7" s="167">
        <v>0.3</v>
      </c>
      <c r="J7" s="46" t="s">
        <v>3005</v>
      </c>
      <c r="K7" s="45" t="s">
        <v>3018</v>
      </c>
      <c r="L7" s="45" t="s">
        <v>3019</v>
      </c>
      <c r="M7" s="116"/>
      <c r="N7" s="147" t="s">
        <v>3020</v>
      </c>
      <c r="O7" s="98">
        <f>COUNTIF(H5:H16,"Completed")</f>
        <v>0</v>
      </c>
    </row>
    <row r="8" spans="1:15">
      <c r="A8" s="18" t="s">
        <v>1078</v>
      </c>
      <c r="B8" s="18" t="s">
        <v>3021</v>
      </c>
      <c r="C8" s="18" t="s">
        <v>3022</v>
      </c>
      <c r="D8" s="18" t="s">
        <v>3023</v>
      </c>
      <c r="E8" s="18" t="s">
        <v>299</v>
      </c>
      <c r="F8" s="168" t="s">
        <v>2766</v>
      </c>
      <c r="G8" s="168" t="s">
        <v>1943</v>
      </c>
      <c r="H8" s="24" t="s">
        <v>2411</v>
      </c>
      <c r="I8" s="169">
        <v>0.25</v>
      </c>
      <c r="J8" s="19" t="s">
        <v>3005</v>
      </c>
      <c r="K8" s="18" t="s">
        <v>3024</v>
      </c>
      <c r="L8" s="18" t="s">
        <v>3025</v>
      </c>
      <c r="M8" s="119"/>
      <c r="N8" s="147" t="s">
        <v>3026</v>
      </c>
      <c r="O8" s="98">
        <f>COUNTIF(H5:H16,"Delayed")</f>
        <v>0</v>
      </c>
    </row>
    <row r="9" spans="1:15">
      <c r="A9" s="45" t="s">
        <v>546</v>
      </c>
      <c r="B9" s="45" t="s">
        <v>715</v>
      </c>
      <c r="C9" s="45" t="s">
        <v>3027</v>
      </c>
      <c r="D9" s="45" t="s">
        <v>3028</v>
      </c>
      <c r="E9" s="45" t="s">
        <v>24</v>
      </c>
      <c r="F9" s="166" t="s">
        <v>3029</v>
      </c>
      <c r="G9" s="166" t="s">
        <v>3017</v>
      </c>
      <c r="H9" s="24" t="s">
        <v>2411</v>
      </c>
      <c r="I9" s="167">
        <v>0.2</v>
      </c>
      <c r="J9" s="46" t="s">
        <v>3005</v>
      </c>
      <c r="K9" s="45" t="s">
        <v>3030</v>
      </c>
      <c r="L9" s="45" t="s">
        <v>3031</v>
      </c>
      <c r="M9" s="116"/>
      <c r="N9" s="147" t="s">
        <v>3032</v>
      </c>
      <c r="O9" s="98">
        <f>COUNTIF(H5:H16,"Not Started")</f>
        <v>2</v>
      </c>
    </row>
    <row r="10" spans="1:15">
      <c r="A10" s="18" t="s">
        <v>1131</v>
      </c>
      <c r="B10" s="18" t="s">
        <v>3033</v>
      </c>
      <c r="C10" s="18" t="s">
        <v>3034</v>
      </c>
      <c r="D10" s="18" t="s">
        <v>3035</v>
      </c>
      <c r="E10" s="18" t="s">
        <v>68</v>
      </c>
      <c r="F10" s="168" t="s">
        <v>3029</v>
      </c>
      <c r="G10" s="168" t="s">
        <v>1912</v>
      </c>
      <c r="H10" s="24" t="s">
        <v>2411</v>
      </c>
      <c r="I10" s="169">
        <v>0.15</v>
      </c>
      <c r="J10" s="19" t="s">
        <v>3005</v>
      </c>
      <c r="K10" s="18" t="s">
        <v>3036</v>
      </c>
      <c r="L10" s="18" t="s">
        <v>3037</v>
      </c>
      <c r="M10" s="119"/>
      <c r="N10" s="147" t="s">
        <v>3038</v>
      </c>
      <c r="O10" s="170">
        <f>AVERAGE(I5:I16)</f>
        <v>0.375</v>
      </c>
    </row>
    <row r="11" spans="1:15">
      <c r="A11" s="45" t="s">
        <v>530</v>
      </c>
      <c r="B11" s="45" t="s">
        <v>157</v>
      </c>
      <c r="C11" s="45" t="s">
        <v>3039</v>
      </c>
      <c r="D11" s="45" t="s">
        <v>3040</v>
      </c>
      <c r="E11" s="45" t="s">
        <v>24</v>
      </c>
      <c r="F11" s="166" t="s">
        <v>3004</v>
      </c>
      <c r="G11" s="166" t="s">
        <v>1943</v>
      </c>
      <c r="H11" s="24" t="s">
        <v>2411</v>
      </c>
      <c r="I11" s="167">
        <v>0.5</v>
      </c>
      <c r="J11" s="46" t="s">
        <v>3041</v>
      </c>
      <c r="K11" s="45" t="s">
        <v>3042</v>
      </c>
      <c r="L11" s="45" t="s">
        <v>3043</v>
      </c>
      <c r="M11" s="116"/>
      <c r="N11" s="147" t="s">
        <v>3044</v>
      </c>
      <c r="O11" s="98">
        <f>COUNTIF(J5:J16,"Phase 1 - Foundation")</f>
        <v>2</v>
      </c>
    </row>
    <row r="12" spans="1:15">
      <c r="A12" s="18" t="s">
        <v>1158</v>
      </c>
      <c r="B12" s="18" t="s">
        <v>2484</v>
      </c>
      <c r="C12" s="18" t="s">
        <v>3045</v>
      </c>
      <c r="D12" s="18" t="s">
        <v>3046</v>
      </c>
      <c r="E12" s="18" t="s">
        <v>181</v>
      </c>
      <c r="F12" s="168" t="s">
        <v>3011</v>
      </c>
      <c r="G12" s="168" t="s">
        <v>3047</v>
      </c>
      <c r="H12" s="26" t="s">
        <v>1108</v>
      </c>
      <c r="I12" s="169">
        <v>0.45</v>
      </c>
      <c r="J12" s="19" t="s">
        <v>3041</v>
      </c>
      <c r="K12" s="18" t="s">
        <v>3048</v>
      </c>
      <c r="L12" s="18" t="s">
        <v>3049</v>
      </c>
      <c r="M12" s="119"/>
      <c r="N12" s="147" t="s">
        <v>3050</v>
      </c>
      <c r="O12" s="98">
        <f>COUNTIF(J5:J16,"Phase 2 - Embed")</f>
        <v>8</v>
      </c>
    </row>
    <row r="13" spans="1:15">
      <c r="A13" s="45" t="s">
        <v>634</v>
      </c>
      <c r="B13" s="45" t="s">
        <v>3051</v>
      </c>
      <c r="C13" s="45" t="s">
        <v>3052</v>
      </c>
      <c r="D13" s="45" t="s">
        <v>3053</v>
      </c>
      <c r="E13" s="45" t="s">
        <v>262</v>
      </c>
      <c r="F13" s="166" t="s">
        <v>1160</v>
      </c>
      <c r="G13" s="166" t="s">
        <v>132</v>
      </c>
      <c r="H13" s="24" t="s">
        <v>2411</v>
      </c>
      <c r="I13" s="167">
        <v>0.35</v>
      </c>
      <c r="J13" s="46" t="s">
        <v>3005</v>
      </c>
      <c r="K13" s="45" t="s">
        <v>3054</v>
      </c>
      <c r="L13" s="45" t="s">
        <v>3055</v>
      </c>
      <c r="M13" s="116"/>
    </row>
    <row r="14" spans="1:15">
      <c r="A14" s="18" t="s">
        <v>536</v>
      </c>
      <c r="B14" s="18" t="s">
        <v>3056</v>
      </c>
      <c r="C14" s="18" t="s">
        <v>3057</v>
      </c>
      <c r="D14" s="18" t="s">
        <v>3058</v>
      </c>
      <c r="E14" s="18" t="s">
        <v>173</v>
      </c>
      <c r="F14" s="168" t="s">
        <v>3011</v>
      </c>
      <c r="G14" s="168" t="s">
        <v>1943</v>
      </c>
      <c r="H14" s="24" t="s">
        <v>2411</v>
      </c>
      <c r="I14" s="169">
        <v>0.6</v>
      </c>
      <c r="J14" s="19" t="s">
        <v>3005</v>
      </c>
      <c r="K14" s="18" t="s">
        <v>3059</v>
      </c>
      <c r="L14" s="18" t="s">
        <v>3060</v>
      </c>
      <c r="M14" s="119"/>
    </row>
    <row r="15" spans="1:15">
      <c r="A15" s="45" t="s">
        <v>3061</v>
      </c>
      <c r="B15" s="45" t="s">
        <v>3062</v>
      </c>
      <c r="C15" s="45" t="s">
        <v>3063</v>
      </c>
      <c r="D15" s="45" t="s">
        <v>707</v>
      </c>
      <c r="E15" s="45" t="s">
        <v>24</v>
      </c>
      <c r="F15" s="166" t="s">
        <v>3029</v>
      </c>
      <c r="G15" s="166" t="s">
        <v>1895</v>
      </c>
      <c r="H15" s="171" t="s">
        <v>3032</v>
      </c>
      <c r="I15" s="167"/>
      <c r="J15" s="46" t="s">
        <v>3064</v>
      </c>
      <c r="K15" s="45" t="s">
        <v>3065</v>
      </c>
      <c r="L15" s="45" t="s">
        <v>3066</v>
      </c>
      <c r="M15" s="116"/>
    </row>
    <row r="16" spans="1:15">
      <c r="A16" s="18" t="s">
        <v>638</v>
      </c>
      <c r="B16" s="18" t="s">
        <v>3067</v>
      </c>
      <c r="C16" s="18" t="s">
        <v>3068</v>
      </c>
      <c r="D16" s="18" t="s">
        <v>3069</v>
      </c>
      <c r="E16" s="18" t="s">
        <v>68</v>
      </c>
      <c r="F16" s="168" t="s">
        <v>3070</v>
      </c>
      <c r="G16" s="168" t="s">
        <v>3017</v>
      </c>
      <c r="H16" s="171" t="s">
        <v>3032</v>
      </c>
      <c r="I16" s="169"/>
      <c r="J16" s="19" t="s">
        <v>3064</v>
      </c>
      <c r="K16" s="18" t="s">
        <v>3071</v>
      </c>
      <c r="L16" s="18" t="s">
        <v>3072</v>
      </c>
      <c r="M16" s="119"/>
    </row>
  </sheetData>
  <mergeCells count="3">
    <mergeCell ref="A1:L1"/>
    <mergeCell ref="A2:L2"/>
    <mergeCell ref="N4:O4"/>
  </mergeCells>
  <pageMargins left="0.7" right="0.7" top="0.75" bottom="0.75" header="0.3" footer="0.3"/>
  <pageSetup orientation="portrait"/>
  <headerFooter>
    <oddHeader>&amp;L&amp;C&amp;R</oddHeader>
    <oddFooter>&amp;L&amp;C&amp;R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8E1D-17D8-2818-0C88-48C6F8222F13}">
  <dimension ref="A1:N18"/>
  <sheetViews>
    <sheetView workbookViewId="0">
      <pane ySplit="4" topLeftCell="A5" activePane="bottomLeft" state="frozen"/>
      <selection pane="bottomLeft" activeCell="M4" sqref="M4:N4"/>
    </sheetView>
  </sheetViews>
  <sheetFormatPr defaultColWidth="8.85546875" defaultRowHeight="15" customHeight="1"/>
  <cols>
    <col min="1" max="1" width="33.140625" bestFit="1" customWidth="1"/>
    <col min="2" max="2" width="14.28515625" bestFit="1" customWidth="1"/>
    <col min="3" max="4" width="8" bestFit="1" customWidth="1"/>
    <col min="5" max="5" width="49.85546875" bestFit="1" customWidth="1"/>
    <col min="6" max="6" width="44.140625" bestFit="1" customWidth="1"/>
    <col min="7" max="7" width="27.42578125" customWidth="1"/>
    <col min="8" max="8" width="12.7109375" bestFit="1" customWidth="1"/>
    <col min="9" max="10" width="10.42578125" bestFit="1" customWidth="1"/>
    <col min="11" max="11" width="35" bestFit="1" customWidth="1"/>
    <col min="13" max="13" width="14.85546875" bestFit="1" customWidth="1"/>
    <col min="14" max="14" width="3" bestFit="1" customWidth="1"/>
  </cols>
  <sheetData>
    <row r="1" spans="1:14" ht="18.75">
      <c r="A1" s="198" t="s">
        <v>3073</v>
      </c>
      <c r="B1" s="191"/>
      <c r="C1" s="191"/>
      <c r="D1" s="191"/>
      <c r="E1" s="191"/>
      <c r="F1" s="191"/>
      <c r="G1" s="191"/>
      <c r="H1" s="191"/>
      <c r="I1" s="191"/>
      <c r="J1" s="191"/>
      <c r="K1" s="191"/>
    </row>
    <row r="2" spans="1:14">
      <c r="A2" s="199" t="s">
        <v>3074</v>
      </c>
      <c r="B2" s="191"/>
      <c r="C2" s="191"/>
      <c r="D2" s="191"/>
      <c r="E2" s="191"/>
      <c r="F2" s="191"/>
      <c r="G2" s="191"/>
      <c r="H2" s="191"/>
      <c r="I2" s="191"/>
      <c r="J2" s="191"/>
      <c r="K2" s="191"/>
    </row>
    <row r="3" spans="1:14">
      <c r="A3" s="10" t="s">
        <v>184</v>
      </c>
    </row>
    <row r="4" spans="1:14">
      <c r="A4" s="132" t="s">
        <v>3075</v>
      </c>
      <c r="B4" s="132" t="s">
        <v>3076</v>
      </c>
      <c r="C4" s="132" t="s">
        <v>3077</v>
      </c>
      <c r="D4" s="132" t="s">
        <v>3078</v>
      </c>
      <c r="E4" s="132" t="s">
        <v>3079</v>
      </c>
      <c r="F4" s="132" t="s">
        <v>3080</v>
      </c>
      <c r="G4" s="132" t="s">
        <v>2998</v>
      </c>
      <c r="H4" s="132" t="s">
        <v>3081</v>
      </c>
      <c r="I4" s="132" t="s">
        <v>3082</v>
      </c>
      <c r="J4" s="132" t="s">
        <v>3083</v>
      </c>
      <c r="K4" s="132" t="s">
        <v>3084</v>
      </c>
      <c r="M4" s="249" t="s">
        <v>3085</v>
      </c>
      <c r="N4" s="191"/>
    </row>
    <row r="5" spans="1:14">
      <c r="A5" s="45" t="s">
        <v>3086</v>
      </c>
      <c r="B5" s="172" t="s">
        <v>3087</v>
      </c>
      <c r="C5" s="46" t="s">
        <v>3088</v>
      </c>
      <c r="D5" s="46" t="s">
        <v>3089</v>
      </c>
      <c r="E5" s="45" t="s">
        <v>3090</v>
      </c>
      <c r="F5" s="45" t="s">
        <v>3091</v>
      </c>
      <c r="G5" s="45" t="s">
        <v>3092</v>
      </c>
      <c r="H5" s="46" t="s">
        <v>2110</v>
      </c>
      <c r="I5" s="166" t="s">
        <v>1116</v>
      </c>
      <c r="J5" s="166" t="s">
        <v>3093</v>
      </c>
      <c r="K5" s="45" t="s">
        <v>3094</v>
      </c>
      <c r="M5" s="147" t="s">
        <v>3095</v>
      </c>
      <c r="N5" s="98">
        <f>COUNTA(A5:A18)</f>
        <v>14</v>
      </c>
    </row>
    <row r="6" spans="1:14">
      <c r="A6" s="18" t="s">
        <v>3096</v>
      </c>
      <c r="B6" s="172" t="s">
        <v>3087</v>
      </c>
      <c r="C6" s="19" t="s">
        <v>3097</v>
      </c>
      <c r="D6" s="19" t="s">
        <v>3089</v>
      </c>
      <c r="E6" s="18" t="s">
        <v>3098</v>
      </c>
      <c r="F6" s="18" t="s">
        <v>3099</v>
      </c>
      <c r="G6" s="18" t="s">
        <v>3100</v>
      </c>
      <c r="H6" s="19" t="s">
        <v>30</v>
      </c>
      <c r="I6" s="168" t="s">
        <v>3101</v>
      </c>
      <c r="J6" s="168" t="s">
        <v>3102</v>
      </c>
      <c r="K6" s="18" t="s">
        <v>3103</v>
      </c>
      <c r="M6" s="147" t="s">
        <v>3087</v>
      </c>
      <c r="N6" s="98">
        <f>COUNTIF(B5:B18,"Mission Critical")</f>
        <v>3</v>
      </c>
    </row>
    <row r="7" spans="1:14">
      <c r="A7" s="45" t="s">
        <v>3104</v>
      </c>
      <c r="B7" s="173" t="s">
        <v>1493</v>
      </c>
      <c r="C7" s="46" t="s">
        <v>3105</v>
      </c>
      <c r="D7" s="46" t="s">
        <v>3106</v>
      </c>
      <c r="E7" s="45" t="s">
        <v>3107</v>
      </c>
      <c r="F7" s="45" t="s">
        <v>3108</v>
      </c>
      <c r="G7" s="45" t="s">
        <v>3109</v>
      </c>
      <c r="H7" s="46" t="s">
        <v>2110</v>
      </c>
      <c r="I7" s="166" t="s">
        <v>1098</v>
      </c>
      <c r="J7" s="166" t="s">
        <v>3110</v>
      </c>
      <c r="K7" s="45" t="s">
        <v>3111</v>
      </c>
      <c r="M7" s="147" t="s">
        <v>1493</v>
      </c>
      <c r="N7" s="98">
        <f>COUNTIF(B5:B18,"High")</f>
        <v>7</v>
      </c>
    </row>
    <row r="8" spans="1:14">
      <c r="A8" s="18" t="s">
        <v>3112</v>
      </c>
      <c r="B8" s="173" t="s">
        <v>1493</v>
      </c>
      <c r="C8" s="19" t="s">
        <v>3088</v>
      </c>
      <c r="D8" s="19" t="s">
        <v>943</v>
      </c>
      <c r="E8" s="18" t="s">
        <v>3113</v>
      </c>
      <c r="F8" s="18" t="s">
        <v>3114</v>
      </c>
      <c r="G8" s="18" t="s">
        <v>3115</v>
      </c>
      <c r="H8" s="19" t="s">
        <v>30</v>
      </c>
      <c r="I8" s="168" t="s">
        <v>1116</v>
      </c>
      <c r="J8" s="168" t="s">
        <v>3116</v>
      </c>
      <c r="K8" s="18" t="s">
        <v>3117</v>
      </c>
      <c r="M8" s="147" t="s">
        <v>3118</v>
      </c>
      <c r="N8" s="98">
        <f>COUNTIF(B5:B18,"Medium")+COUNTIF(B5:B18,"Low")</f>
        <v>4</v>
      </c>
    </row>
    <row r="9" spans="1:14">
      <c r="A9" s="45" t="s">
        <v>3119</v>
      </c>
      <c r="B9" s="173" t="s">
        <v>1493</v>
      </c>
      <c r="C9" s="46" t="s">
        <v>3105</v>
      </c>
      <c r="D9" s="46" t="s">
        <v>3088</v>
      </c>
      <c r="E9" s="45" t="s">
        <v>3120</v>
      </c>
      <c r="F9" s="45" t="s">
        <v>3121</v>
      </c>
      <c r="G9" s="45" t="s">
        <v>3122</v>
      </c>
      <c r="H9" s="46" t="s">
        <v>2110</v>
      </c>
      <c r="I9" s="166" t="s">
        <v>1133</v>
      </c>
      <c r="J9" s="166" t="s">
        <v>3123</v>
      </c>
      <c r="K9" s="45" t="s">
        <v>3124</v>
      </c>
      <c r="M9" s="147" t="s">
        <v>3125</v>
      </c>
      <c r="N9" s="98">
        <f ca="1">COUNTIF(I5:I18,"&gt;="&amp;(TODAY()-90))</f>
        <v>0</v>
      </c>
    </row>
    <row r="10" spans="1:14">
      <c r="A10" s="18" t="s">
        <v>3126</v>
      </c>
      <c r="B10" s="173" t="s">
        <v>1493</v>
      </c>
      <c r="C10" s="19" t="s">
        <v>3088</v>
      </c>
      <c r="D10" s="19" t="s">
        <v>3089</v>
      </c>
      <c r="E10" s="18" t="s">
        <v>3127</v>
      </c>
      <c r="F10" s="18" t="s">
        <v>3128</v>
      </c>
      <c r="G10" s="18" t="s">
        <v>3129</v>
      </c>
      <c r="H10" s="19" t="s">
        <v>2110</v>
      </c>
      <c r="I10" s="168" t="s">
        <v>1186</v>
      </c>
      <c r="J10" s="168" t="s">
        <v>3130</v>
      </c>
      <c r="K10" s="18" t="s">
        <v>3131</v>
      </c>
      <c r="M10" s="147" t="s">
        <v>3132</v>
      </c>
      <c r="N10" s="98">
        <f>COUNTIF(H5:H18,"Half-yearly")</f>
        <v>2</v>
      </c>
    </row>
    <row r="11" spans="1:14">
      <c r="A11" s="45" t="s">
        <v>3133</v>
      </c>
      <c r="B11" s="173" t="s">
        <v>1493</v>
      </c>
      <c r="C11" s="46" t="s">
        <v>3088</v>
      </c>
      <c r="D11" s="46" t="s">
        <v>3089</v>
      </c>
      <c r="E11" s="45" t="s">
        <v>3134</v>
      </c>
      <c r="F11" s="45" t="s">
        <v>3135</v>
      </c>
      <c r="G11" s="45" t="s">
        <v>3136</v>
      </c>
      <c r="H11" s="46" t="s">
        <v>2110</v>
      </c>
      <c r="I11" s="166" t="s">
        <v>1208</v>
      </c>
      <c r="J11" s="166" t="s">
        <v>3137</v>
      </c>
      <c r="K11" s="45" t="s">
        <v>3138</v>
      </c>
    </row>
    <row r="12" spans="1:14">
      <c r="A12" s="18" t="s">
        <v>3139</v>
      </c>
      <c r="B12" s="172" t="s">
        <v>3087</v>
      </c>
      <c r="C12" s="19" t="s">
        <v>3097</v>
      </c>
      <c r="D12" s="19" t="s">
        <v>3089</v>
      </c>
      <c r="E12" s="18" t="s">
        <v>3140</v>
      </c>
      <c r="F12" s="18" t="s">
        <v>3141</v>
      </c>
      <c r="G12" s="18" t="s">
        <v>3142</v>
      </c>
      <c r="H12" s="19" t="s">
        <v>2110</v>
      </c>
      <c r="I12" s="168" t="s">
        <v>1243</v>
      </c>
      <c r="J12" s="168" t="s">
        <v>3143</v>
      </c>
      <c r="K12" s="18" t="s">
        <v>3144</v>
      </c>
    </row>
    <row r="13" spans="1:14">
      <c r="A13" s="45" t="s">
        <v>3145</v>
      </c>
      <c r="B13" s="173" t="s">
        <v>1493</v>
      </c>
      <c r="C13" s="46" t="s">
        <v>3088</v>
      </c>
      <c r="D13" s="46" t="s">
        <v>943</v>
      </c>
      <c r="E13" s="45" t="s">
        <v>3146</v>
      </c>
      <c r="F13" s="45" t="s">
        <v>3147</v>
      </c>
      <c r="G13" s="45" t="s">
        <v>3148</v>
      </c>
      <c r="H13" s="46" t="s">
        <v>2110</v>
      </c>
      <c r="I13" s="166" t="s">
        <v>1277</v>
      </c>
      <c r="J13" s="166" t="s">
        <v>3149</v>
      </c>
      <c r="K13" s="45" t="s">
        <v>3150</v>
      </c>
    </row>
    <row r="14" spans="1:14">
      <c r="A14" s="18" t="s">
        <v>3151</v>
      </c>
      <c r="B14" s="173" t="s">
        <v>1493</v>
      </c>
      <c r="C14" s="19" t="s">
        <v>3105</v>
      </c>
      <c r="D14" s="19" t="s">
        <v>3088</v>
      </c>
      <c r="E14" s="18" t="s">
        <v>3152</v>
      </c>
      <c r="F14" s="18" t="s">
        <v>3153</v>
      </c>
      <c r="G14" s="18" t="s">
        <v>3154</v>
      </c>
      <c r="H14" s="19" t="s">
        <v>2110</v>
      </c>
      <c r="I14" s="168" t="s">
        <v>1300</v>
      </c>
      <c r="J14" s="168" t="s">
        <v>3155</v>
      </c>
      <c r="K14" s="18" t="s">
        <v>3124</v>
      </c>
    </row>
    <row r="15" spans="1:14">
      <c r="A15" s="45" t="s">
        <v>3156</v>
      </c>
      <c r="B15" s="174" t="s">
        <v>1524</v>
      </c>
      <c r="C15" s="46" t="s">
        <v>3105</v>
      </c>
      <c r="D15" s="46" t="s">
        <v>943</v>
      </c>
      <c r="E15" s="45" t="s">
        <v>3157</v>
      </c>
      <c r="F15" s="45" t="s">
        <v>3158</v>
      </c>
      <c r="G15" s="45" t="s">
        <v>3115</v>
      </c>
      <c r="H15" s="46" t="s">
        <v>2110</v>
      </c>
      <c r="I15" s="166" t="s">
        <v>1231</v>
      </c>
      <c r="J15" s="166" t="s">
        <v>3159</v>
      </c>
      <c r="K15" s="45" t="s">
        <v>3160</v>
      </c>
    </row>
    <row r="16" spans="1:14">
      <c r="A16" s="18" t="s">
        <v>3161</v>
      </c>
      <c r="B16" s="174" t="s">
        <v>1524</v>
      </c>
      <c r="C16" s="19" t="s">
        <v>3162</v>
      </c>
      <c r="D16" s="19" t="s">
        <v>3162</v>
      </c>
      <c r="E16" s="18" t="s">
        <v>3163</v>
      </c>
      <c r="F16" s="18" t="s">
        <v>3164</v>
      </c>
      <c r="G16" s="18" t="s">
        <v>1179</v>
      </c>
      <c r="H16" s="19" t="s">
        <v>2110</v>
      </c>
      <c r="I16" s="168" t="s">
        <v>1330</v>
      </c>
      <c r="J16" s="168" t="s">
        <v>3165</v>
      </c>
      <c r="K16" s="18" t="s">
        <v>3166</v>
      </c>
    </row>
    <row r="17" spans="1:11">
      <c r="A17" s="45" t="s">
        <v>3167</v>
      </c>
      <c r="B17" s="175" t="s">
        <v>1731</v>
      </c>
      <c r="C17" s="46" t="s">
        <v>3168</v>
      </c>
      <c r="D17" s="46" t="s">
        <v>3162</v>
      </c>
      <c r="E17" s="45" t="s">
        <v>3169</v>
      </c>
      <c r="F17" s="45" t="s">
        <v>3170</v>
      </c>
      <c r="G17" s="45" t="s">
        <v>3171</v>
      </c>
      <c r="H17" s="46" t="s">
        <v>2110</v>
      </c>
      <c r="I17" s="166" t="s">
        <v>1319</v>
      </c>
      <c r="J17" s="166" t="s">
        <v>3172</v>
      </c>
      <c r="K17" s="45" t="s">
        <v>3173</v>
      </c>
    </row>
    <row r="18" spans="1:11">
      <c r="A18" s="18" t="s">
        <v>3174</v>
      </c>
      <c r="B18" s="174" t="s">
        <v>1524</v>
      </c>
      <c r="C18" s="19" t="s">
        <v>3162</v>
      </c>
      <c r="D18" s="19" t="s">
        <v>943</v>
      </c>
      <c r="E18" s="18" t="s">
        <v>3175</v>
      </c>
      <c r="F18" s="18" t="s">
        <v>3176</v>
      </c>
      <c r="G18" s="18" t="s">
        <v>3177</v>
      </c>
      <c r="H18" s="19" t="s">
        <v>2110</v>
      </c>
      <c r="I18" s="168" t="s">
        <v>1149</v>
      </c>
      <c r="J18" s="168" t="s">
        <v>3178</v>
      </c>
      <c r="K18" s="18" t="s">
        <v>3179</v>
      </c>
    </row>
  </sheetData>
  <mergeCells count="3">
    <mergeCell ref="A1:K1"/>
    <mergeCell ref="A2:K2"/>
    <mergeCell ref="M4:N4"/>
  </mergeCells>
  <pageMargins left="0.7" right="0.7" top="0.75" bottom="0.75" header="0.3" footer="0.3"/>
  <pageSetup orientation="portrait"/>
  <headerFooter>
    <oddHeader>&amp;L&amp;C&amp;R</oddHeader>
    <oddFooter>&amp;L&amp;C&amp;R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FAC01-6774-857F-BD58-DFC773B0CE08}">
  <dimension ref="A1:AB16"/>
  <sheetViews>
    <sheetView workbookViewId="0">
      <pane ySplit="4" topLeftCell="A5" activePane="bottomLeft" state="frozen"/>
      <selection pane="bottomLeft" sqref="A1:AB1"/>
    </sheetView>
  </sheetViews>
  <sheetFormatPr defaultColWidth="8.85546875" defaultRowHeight="15" customHeight="1"/>
  <cols>
    <col min="1" max="5" width="9.5703125" customWidth="1"/>
    <col min="6" max="7" width="10.42578125" customWidth="1"/>
    <col min="8" max="8" width="9.5703125" customWidth="1"/>
    <col min="9" max="9" width="1.140625" customWidth="1"/>
    <col min="10" max="10" width="9.5703125" customWidth="1"/>
    <col min="11" max="11" width="10.42578125" customWidth="1"/>
    <col min="12" max="15" width="9.5703125" customWidth="1"/>
    <col min="16" max="16" width="10.42578125" customWidth="1"/>
    <col min="17" max="17" width="11" customWidth="1"/>
    <col min="18" max="18" width="1.140625" customWidth="1"/>
    <col min="19" max="19" width="12.42578125" customWidth="1"/>
    <col min="20" max="21" width="9.5703125" customWidth="1"/>
    <col min="22" max="22" width="11" customWidth="1"/>
    <col min="23" max="25" width="9.5703125" customWidth="1"/>
    <col min="26" max="26" width="11.42578125" customWidth="1"/>
    <col min="27" max="28" width="9.5703125" customWidth="1"/>
  </cols>
  <sheetData>
    <row r="1" spans="1:28" ht="18.75">
      <c r="A1" s="238" t="s">
        <v>3180</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row>
    <row r="2" spans="1:28">
      <c r="A2" s="239" t="s">
        <v>3181</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row>
    <row r="3" spans="1:28">
      <c r="A3" s="88" t="s">
        <v>184</v>
      </c>
    </row>
    <row r="4" spans="1:28">
      <c r="A4" s="82" t="s">
        <v>277</v>
      </c>
      <c r="B4" s="82" t="s">
        <v>3182</v>
      </c>
      <c r="C4" s="82" t="s">
        <v>1682</v>
      </c>
      <c r="D4" s="82" t="s">
        <v>1986</v>
      </c>
      <c r="E4" s="82" t="s">
        <v>1029</v>
      </c>
      <c r="F4" s="82" t="s">
        <v>333</v>
      </c>
      <c r="G4" s="82" t="s">
        <v>1030</v>
      </c>
      <c r="H4" s="82" t="s">
        <v>1881</v>
      </c>
      <c r="I4" s="82"/>
      <c r="J4" s="82" t="s">
        <v>2623</v>
      </c>
      <c r="K4" s="82" t="s">
        <v>1026</v>
      </c>
      <c r="L4" s="82" t="s">
        <v>3183</v>
      </c>
      <c r="M4" s="82" t="s">
        <v>1820</v>
      </c>
      <c r="N4" s="82" t="s">
        <v>3184</v>
      </c>
      <c r="O4" s="82" t="s">
        <v>3185</v>
      </c>
      <c r="P4" s="82" t="s">
        <v>3186</v>
      </c>
      <c r="Q4" s="82" t="s">
        <v>3187</v>
      </c>
      <c r="R4" s="82"/>
      <c r="S4" s="82" t="s">
        <v>3188</v>
      </c>
      <c r="T4" s="82" t="s">
        <v>871</v>
      </c>
      <c r="U4" s="82" t="s">
        <v>3076</v>
      </c>
      <c r="V4" s="82" t="s">
        <v>3189</v>
      </c>
      <c r="W4" s="82" t="s">
        <v>1017</v>
      </c>
      <c r="X4" s="82" t="s">
        <v>1477</v>
      </c>
      <c r="Y4" s="82" t="s">
        <v>3190</v>
      </c>
      <c r="Z4" s="82" t="s">
        <v>3191</v>
      </c>
      <c r="AA4" s="82" t="s">
        <v>3192</v>
      </c>
      <c r="AB4" s="82" t="s">
        <v>1019</v>
      </c>
    </row>
    <row r="5" spans="1:28">
      <c r="A5" s="36" t="s">
        <v>3032</v>
      </c>
      <c r="B5" s="36" t="s">
        <v>77</v>
      </c>
      <c r="C5" s="36" t="s">
        <v>1699</v>
      </c>
      <c r="D5" s="36" t="s">
        <v>2018</v>
      </c>
      <c r="E5" s="36" t="s">
        <v>345</v>
      </c>
      <c r="F5" s="36" t="s">
        <v>3193</v>
      </c>
      <c r="G5" s="36" t="s">
        <v>3194</v>
      </c>
      <c r="H5" s="36" t="s">
        <v>1106</v>
      </c>
      <c r="I5" s="36"/>
      <c r="J5" s="36" t="s">
        <v>2631</v>
      </c>
      <c r="K5" s="36" t="s">
        <v>1224</v>
      </c>
      <c r="L5" s="36" t="s">
        <v>1054</v>
      </c>
      <c r="M5" s="36" t="s">
        <v>3195</v>
      </c>
      <c r="N5" s="36" t="s">
        <v>3196</v>
      </c>
      <c r="O5" s="36" t="s">
        <v>1771</v>
      </c>
      <c r="P5" s="36" t="s">
        <v>3197</v>
      </c>
      <c r="Q5" s="36" t="s">
        <v>1690</v>
      </c>
      <c r="R5" s="36"/>
      <c r="S5" s="36" t="s">
        <v>125</v>
      </c>
      <c r="T5" s="36" t="s">
        <v>877</v>
      </c>
      <c r="U5" s="36" t="s">
        <v>3087</v>
      </c>
      <c r="V5" s="36" t="s">
        <v>3198</v>
      </c>
      <c r="W5" s="36" t="s">
        <v>1044</v>
      </c>
      <c r="X5" s="36" t="s">
        <v>704</v>
      </c>
      <c r="Y5" s="36" t="s">
        <v>3199</v>
      </c>
      <c r="Z5" s="36" t="s">
        <v>2096</v>
      </c>
      <c r="AA5" s="36" t="s">
        <v>3200</v>
      </c>
      <c r="AB5" s="36" t="s">
        <v>1047</v>
      </c>
    </row>
    <row r="6" spans="1:28">
      <c r="A6" s="39" t="s">
        <v>1108</v>
      </c>
      <c r="B6" s="39" t="s">
        <v>76</v>
      </c>
      <c r="C6" s="39" t="s">
        <v>1493</v>
      </c>
      <c r="D6" s="39" t="s">
        <v>1998</v>
      </c>
      <c r="E6" s="39" t="s">
        <v>337</v>
      </c>
      <c r="F6" s="39" t="s">
        <v>3201</v>
      </c>
      <c r="G6" s="39" t="s">
        <v>1108</v>
      </c>
      <c r="H6" s="39" t="s">
        <v>1942</v>
      </c>
      <c r="I6" s="36"/>
      <c r="J6" s="39" t="s">
        <v>3202</v>
      </c>
      <c r="K6" s="39" t="s">
        <v>1071</v>
      </c>
      <c r="L6" s="39" t="s">
        <v>1053</v>
      </c>
      <c r="M6" s="39" t="s">
        <v>261</v>
      </c>
      <c r="N6" s="39" t="s">
        <v>3203</v>
      </c>
      <c r="O6" s="39" t="s">
        <v>882</v>
      </c>
      <c r="P6" s="39" t="s">
        <v>1997</v>
      </c>
      <c r="Q6" s="39" t="s">
        <v>1734</v>
      </c>
      <c r="R6" s="36"/>
      <c r="S6" s="39" t="s">
        <v>605</v>
      </c>
      <c r="T6" s="39" t="s">
        <v>2891</v>
      </c>
      <c r="U6" s="39" t="s">
        <v>1493</v>
      </c>
      <c r="V6" s="39" t="s">
        <v>3204</v>
      </c>
      <c r="W6" s="39" t="s">
        <v>1068</v>
      </c>
      <c r="X6" s="39" t="s">
        <v>458</v>
      </c>
      <c r="Y6" s="39" t="s">
        <v>3205</v>
      </c>
      <c r="Z6" s="39" t="s">
        <v>2126</v>
      </c>
      <c r="AA6" s="39" t="s">
        <v>3206</v>
      </c>
      <c r="AB6" s="39" t="s">
        <v>3207</v>
      </c>
    </row>
    <row r="7" spans="1:28">
      <c r="A7" s="36" t="s">
        <v>2411</v>
      </c>
      <c r="B7" s="36" t="s">
        <v>75</v>
      </c>
      <c r="C7" s="36" t="s">
        <v>1524</v>
      </c>
      <c r="D7" s="36" t="s">
        <v>2009</v>
      </c>
      <c r="E7" s="36" t="s">
        <v>1169</v>
      </c>
      <c r="F7" s="36" t="s">
        <v>346</v>
      </c>
      <c r="G7" s="36" t="s">
        <v>1055</v>
      </c>
      <c r="H7" s="36" t="s">
        <v>1049</v>
      </c>
      <c r="I7" s="36"/>
      <c r="J7" s="36" t="s">
        <v>3208</v>
      </c>
      <c r="K7" s="36" t="s">
        <v>1052</v>
      </c>
      <c r="L7" s="36"/>
      <c r="M7" s="36" t="s">
        <v>3209</v>
      </c>
      <c r="N7" s="36" t="s">
        <v>2468</v>
      </c>
      <c r="O7" s="36" t="s">
        <v>1800</v>
      </c>
      <c r="P7" s="36" t="s">
        <v>2028</v>
      </c>
      <c r="Q7" s="36" t="s">
        <v>1695</v>
      </c>
      <c r="R7" s="36"/>
      <c r="S7" s="36" t="s">
        <v>1275</v>
      </c>
      <c r="T7" s="36" t="s">
        <v>2871</v>
      </c>
      <c r="U7" s="36" t="s">
        <v>1524</v>
      </c>
      <c r="V7" s="36" t="s">
        <v>3210</v>
      </c>
      <c r="W7" s="36" t="s">
        <v>1101</v>
      </c>
      <c r="X7" s="36" t="s">
        <v>733</v>
      </c>
      <c r="Y7" s="36" t="s">
        <v>3211</v>
      </c>
      <c r="Z7" s="36" t="s">
        <v>3194</v>
      </c>
      <c r="AA7" s="36" t="s">
        <v>3212</v>
      </c>
      <c r="AB7" s="36" t="s">
        <v>1104</v>
      </c>
    </row>
    <row r="8" spans="1:28">
      <c r="A8" s="39" t="s">
        <v>3026</v>
      </c>
      <c r="B8" s="39"/>
      <c r="C8" s="39" t="s">
        <v>1731</v>
      </c>
      <c r="D8" s="39" t="s">
        <v>3213</v>
      </c>
      <c r="E8" s="39"/>
      <c r="F8" s="39" t="s">
        <v>338</v>
      </c>
      <c r="G8" s="39" t="s">
        <v>3214</v>
      </c>
      <c r="H8" s="39" t="s">
        <v>3215</v>
      </c>
      <c r="I8" s="36"/>
      <c r="J8" s="39" t="s">
        <v>3216</v>
      </c>
      <c r="K8" s="39" t="s">
        <v>1092</v>
      </c>
      <c r="L8" s="39"/>
      <c r="M8" s="39" t="s">
        <v>3217</v>
      </c>
      <c r="N8" s="39" t="s">
        <v>2462</v>
      </c>
      <c r="O8" s="39"/>
      <c r="P8" s="39" t="s">
        <v>2054</v>
      </c>
      <c r="Q8" s="39" t="s">
        <v>1698</v>
      </c>
      <c r="R8" s="36"/>
      <c r="S8" s="39" t="s">
        <v>136</v>
      </c>
      <c r="T8" s="39" t="s">
        <v>1089</v>
      </c>
      <c r="U8" s="39" t="s">
        <v>1731</v>
      </c>
      <c r="V8" s="39" t="s">
        <v>3218</v>
      </c>
      <c r="W8" s="39" t="s">
        <v>326</v>
      </c>
      <c r="X8" s="39" t="s">
        <v>728</v>
      </c>
      <c r="Y8" s="39" t="s">
        <v>3219</v>
      </c>
      <c r="Z8" s="39" t="s">
        <v>3220</v>
      </c>
      <c r="AA8" s="39" t="s">
        <v>3221</v>
      </c>
      <c r="AB8" s="39" t="s">
        <v>1293</v>
      </c>
    </row>
    <row r="9" spans="1:28">
      <c r="A9" s="36" t="s">
        <v>3020</v>
      </c>
      <c r="B9" s="36"/>
      <c r="C9" s="36"/>
      <c r="D9" s="36"/>
      <c r="E9" s="36"/>
      <c r="F9" s="36" t="s">
        <v>3222</v>
      </c>
      <c r="G9" s="36" t="s">
        <v>1957</v>
      </c>
      <c r="H9" s="36" t="s">
        <v>1089</v>
      </c>
      <c r="I9" s="36"/>
      <c r="J9" s="36"/>
      <c r="K9" s="36"/>
      <c r="L9" s="36"/>
      <c r="M9" s="36"/>
      <c r="N9" s="36" t="s">
        <v>2463</v>
      </c>
      <c r="O9" s="36"/>
      <c r="P9" s="36" t="s">
        <v>2037</v>
      </c>
      <c r="Q9" s="36" t="s">
        <v>1705</v>
      </c>
      <c r="R9" s="36"/>
      <c r="S9" s="36" t="s">
        <v>1357</v>
      </c>
      <c r="T9" s="36" t="s">
        <v>2880</v>
      </c>
      <c r="U9" s="36"/>
      <c r="V9" s="36"/>
      <c r="W9" s="36" t="s">
        <v>1258</v>
      </c>
      <c r="X9" s="36" t="s">
        <v>750</v>
      </c>
      <c r="Y9" s="36"/>
      <c r="Z9" s="36" t="s">
        <v>3223</v>
      </c>
      <c r="AA9" s="36" t="s">
        <v>3224</v>
      </c>
      <c r="AB9" s="36" t="s">
        <v>1123</v>
      </c>
    </row>
    <row r="10" spans="1:28">
      <c r="A10" s="39" t="s">
        <v>1691</v>
      </c>
      <c r="B10" s="39"/>
      <c r="C10" s="39"/>
      <c r="D10" s="39"/>
      <c r="E10" s="39"/>
      <c r="F10" s="39" t="s">
        <v>3225</v>
      </c>
      <c r="G10" s="39"/>
      <c r="H10" s="39" t="s">
        <v>1963</v>
      </c>
      <c r="I10" s="36"/>
      <c r="J10" s="39"/>
      <c r="K10" s="39"/>
      <c r="L10" s="39"/>
      <c r="M10" s="39"/>
      <c r="N10" s="39"/>
      <c r="O10" s="39"/>
      <c r="P10" s="39" t="s">
        <v>3226</v>
      </c>
      <c r="Q10" s="39" t="s">
        <v>1725</v>
      </c>
      <c r="R10" s="36"/>
      <c r="S10" s="39" t="s">
        <v>913</v>
      </c>
      <c r="T10" s="39"/>
      <c r="U10" s="39"/>
      <c r="V10" s="39"/>
      <c r="W10" s="39" t="s">
        <v>1165</v>
      </c>
      <c r="X10" s="39" t="s">
        <v>716</v>
      </c>
      <c r="Y10" s="39"/>
      <c r="Z10" s="39"/>
      <c r="AA10" s="39" t="s">
        <v>3227</v>
      </c>
      <c r="AB10" s="39" t="s">
        <v>3228</v>
      </c>
    </row>
    <row r="11" spans="1:28">
      <c r="A11" s="36" t="s">
        <v>930</v>
      </c>
      <c r="B11" s="36"/>
      <c r="C11" s="36"/>
      <c r="D11" s="36"/>
      <c r="E11" s="36"/>
      <c r="F11" s="36"/>
      <c r="G11" s="36"/>
      <c r="H11" s="36"/>
      <c r="I11" s="36"/>
      <c r="J11" s="36"/>
      <c r="K11" s="36"/>
      <c r="L11" s="36"/>
      <c r="M11" s="36"/>
      <c r="N11" s="36"/>
      <c r="O11" s="36"/>
      <c r="P11" s="36" t="s">
        <v>2008</v>
      </c>
      <c r="Q11" s="36" t="s">
        <v>1711</v>
      </c>
      <c r="R11" s="36"/>
      <c r="S11" s="36" t="s">
        <v>599</v>
      </c>
      <c r="T11" s="36"/>
      <c r="U11" s="36"/>
      <c r="V11" s="36"/>
      <c r="W11" s="36" t="s">
        <v>1138</v>
      </c>
      <c r="X11" s="36" t="s">
        <v>745</v>
      </c>
      <c r="Y11" s="36"/>
      <c r="Z11" s="36"/>
      <c r="AA11" s="36" t="s">
        <v>3229</v>
      </c>
      <c r="AB11" s="36" t="s">
        <v>1087</v>
      </c>
    </row>
    <row r="12" spans="1:28">
      <c r="A12" s="39" t="s">
        <v>3230</v>
      </c>
      <c r="B12" s="39"/>
      <c r="C12" s="39"/>
      <c r="D12" s="39"/>
      <c r="E12" s="39"/>
      <c r="F12" s="39"/>
      <c r="G12" s="39"/>
      <c r="H12" s="39"/>
      <c r="I12" s="36"/>
      <c r="J12" s="39"/>
      <c r="K12" s="39"/>
      <c r="L12" s="39"/>
      <c r="M12" s="39"/>
      <c r="N12" s="39"/>
      <c r="O12" s="39"/>
      <c r="P12" s="39" t="s">
        <v>3231</v>
      </c>
      <c r="Q12" s="39" t="s">
        <v>1702</v>
      </c>
      <c r="R12" s="36"/>
      <c r="S12" s="39" t="s">
        <v>131</v>
      </c>
      <c r="T12" s="39"/>
      <c r="U12" s="39"/>
      <c r="V12" s="39"/>
      <c r="W12" s="39" t="s">
        <v>740</v>
      </c>
      <c r="X12" s="39" t="s">
        <v>739</v>
      </c>
      <c r="Y12" s="39"/>
      <c r="Z12" s="39"/>
      <c r="AA12" s="39" t="s">
        <v>3232</v>
      </c>
      <c r="AB12" s="39" t="s">
        <v>3233</v>
      </c>
    </row>
    <row r="13" spans="1:28">
      <c r="A13" s="36"/>
      <c r="B13" s="36"/>
      <c r="C13" s="36"/>
      <c r="D13" s="36"/>
      <c r="E13" s="36"/>
      <c r="F13" s="36"/>
      <c r="G13" s="36"/>
      <c r="H13" s="36"/>
      <c r="I13" s="36"/>
      <c r="J13" s="36"/>
      <c r="K13" s="36"/>
      <c r="L13" s="36"/>
      <c r="M13" s="36"/>
      <c r="N13" s="36"/>
      <c r="O13" s="36"/>
      <c r="P13" s="36" t="s">
        <v>3234</v>
      </c>
      <c r="Q13" s="36" t="s">
        <v>1718</v>
      </c>
      <c r="R13" s="36"/>
      <c r="S13" s="36" t="s">
        <v>1411</v>
      </c>
      <c r="T13" s="36"/>
      <c r="U13" s="36"/>
      <c r="V13" s="36"/>
      <c r="W13" s="36" t="s">
        <v>567</v>
      </c>
      <c r="X13" s="36" t="s">
        <v>3235</v>
      </c>
      <c r="Y13" s="36"/>
      <c r="Z13" s="36"/>
      <c r="AA13" s="36"/>
      <c r="AB13" s="36" t="s">
        <v>3236</v>
      </c>
    </row>
    <row r="14" spans="1:28">
      <c r="A14" s="39"/>
      <c r="B14" s="39"/>
      <c r="C14" s="39"/>
      <c r="D14" s="39"/>
      <c r="E14" s="39"/>
      <c r="F14" s="39"/>
      <c r="G14" s="39"/>
      <c r="H14" s="39"/>
      <c r="I14" s="36"/>
      <c r="J14" s="39"/>
      <c r="K14" s="39"/>
      <c r="L14" s="39"/>
      <c r="M14" s="39"/>
      <c r="N14" s="39"/>
      <c r="O14" s="39"/>
      <c r="P14" s="39" t="s">
        <v>3237</v>
      </c>
      <c r="Q14" s="39" t="s">
        <v>1730</v>
      </c>
      <c r="R14" s="36"/>
      <c r="S14" s="39"/>
      <c r="T14" s="39"/>
      <c r="U14" s="39"/>
      <c r="V14" s="39"/>
      <c r="W14" s="39" t="s">
        <v>1190</v>
      </c>
      <c r="X14" s="39" t="s">
        <v>3238</v>
      </c>
      <c r="Y14" s="39"/>
      <c r="Z14" s="39"/>
      <c r="AA14" s="39"/>
      <c r="AB14" s="39"/>
    </row>
    <row r="15" spans="1:28">
      <c r="A15" s="36"/>
      <c r="B15" s="36"/>
      <c r="C15" s="36"/>
      <c r="D15" s="36"/>
      <c r="E15" s="36"/>
      <c r="F15" s="36"/>
      <c r="G15" s="36"/>
      <c r="H15" s="36"/>
      <c r="I15" s="36"/>
      <c r="J15" s="36"/>
      <c r="K15" s="36"/>
      <c r="L15" s="36"/>
      <c r="M15" s="36"/>
      <c r="N15" s="36"/>
      <c r="O15" s="36"/>
      <c r="P15" s="36"/>
      <c r="Q15" s="36"/>
      <c r="R15" s="36"/>
      <c r="S15" s="36"/>
      <c r="T15" s="36"/>
      <c r="U15" s="36"/>
      <c r="V15" s="36"/>
      <c r="W15" s="36" t="s">
        <v>910</v>
      </c>
      <c r="X15" s="36"/>
      <c r="Y15" s="36"/>
      <c r="Z15" s="36"/>
      <c r="AA15" s="36"/>
      <c r="AB15" s="36"/>
    </row>
    <row r="16" spans="1:28">
      <c r="A16" s="39"/>
      <c r="B16" s="39"/>
      <c r="C16" s="39"/>
      <c r="D16" s="39"/>
      <c r="E16" s="39"/>
      <c r="F16" s="39"/>
      <c r="G16" s="39"/>
      <c r="H16" s="39"/>
      <c r="I16" s="36"/>
      <c r="J16" s="39"/>
      <c r="K16" s="39"/>
      <c r="L16" s="39"/>
      <c r="M16" s="39"/>
      <c r="N16" s="39"/>
      <c r="O16" s="39"/>
      <c r="P16" s="39"/>
      <c r="Q16" s="39"/>
      <c r="R16" s="36"/>
      <c r="S16" s="39"/>
      <c r="T16" s="39"/>
      <c r="U16" s="39"/>
      <c r="V16" s="39"/>
      <c r="W16" s="39" t="s">
        <v>458</v>
      </c>
      <c r="X16" s="39"/>
      <c r="Y16" s="39"/>
      <c r="Z16" s="39"/>
      <c r="AA16" s="39"/>
      <c r="AB16" s="39"/>
    </row>
  </sheetData>
  <mergeCells count="2">
    <mergeCell ref="A1:AB1"/>
    <mergeCell ref="A2:AB2"/>
  </mergeCells>
  <pageMargins left="0.7" right="0.7" top="0.75" bottom="0.75" header="0.3" footer="0.3"/>
  <pageSetup orientation="portrait"/>
  <headerFooter>
    <oddHeader>&amp;L&amp;C&amp;R</oddHeader>
    <oddFooter>&amp;L&amp;C&amp;R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0478-05B8-8CEE-4A78-E10F5CDE013F}">
  <dimension ref="A1:H72"/>
  <sheetViews>
    <sheetView workbookViewId="0">
      <pane ySplit="4" topLeftCell="A5" activePane="bottomLeft" state="frozen"/>
      <selection pane="bottomLeft" activeCell="G31" sqref="G31"/>
    </sheetView>
  </sheetViews>
  <sheetFormatPr defaultColWidth="8.85546875" defaultRowHeight="15" customHeight="1"/>
  <cols>
    <col min="1" max="1" width="17" bestFit="1" customWidth="1"/>
    <col min="2" max="2" width="42.28515625" bestFit="1" customWidth="1"/>
    <col min="3" max="3" width="79.140625" bestFit="1" customWidth="1"/>
    <col min="4" max="4" width="76.140625" bestFit="1" customWidth="1"/>
    <col min="5" max="5" width="69.28515625" bestFit="1" customWidth="1"/>
    <col min="6" max="6" width="11.5703125" bestFit="1" customWidth="1"/>
    <col min="7" max="7" width="18.42578125" bestFit="1" customWidth="1"/>
    <col min="8" max="8" width="61.5703125" bestFit="1" customWidth="1"/>
  </cols>
  <sheetData>
    <row r="1" spans="1:8" ht="21">
      <c r="A1" s="190" t="s">
        <v>3239</v>
      </c>
      <c r="B1" s="191"/>
      <c r="C1" s="191"/>
      <c r="D1" s="191"/>
      <c r="E1" s="191"/>
      <c r="F1" s="191"/>
      <c r="G1" s="191"/>
      <c r="H1" s="191"/>
    </row>
    <row r="2" spans="1:8">
      <c r="A2" s="239" t="s">
        <v>3240</v>
      </c>
      <c r="B2" s="191"/>
      <c r="C2" s="191"/>
      <c r="D2" s="191"/>
      <c r="E2" s="191"/>
      <c r="F2" s="191"/>
      <c r="G2" s="191"/>
      <c r="H2" s="191"/>
    </row>
    <row r="3" spans="1:8">
      <c r="A3" s="176" t="s">
        <v>184</v>
      </c>
    </row>
    <row r="4" spans="1:8"/>
    <row r="5" spans="1:8" ht="18.75">
      <c r="A5" s="238" t="s">
        <v>3241</v>
      </c>
      <c r="B5" s="191"/>
      <c r="C5" s="191"/>
      <c r="D5" s="191"/>
      <c r="E5" s="191"/>
      <c r="F5" s="191"/>
      <c r="G5" s="191"/>
      <c r="H5" s="191"/>
    </row>
    <row r="6" spans="1:8">
      <c r="A6" s="177" t="s">
        <v>3242</v>
      </c>
      <c r="B6" s="177" t="s">
        <v>3243</v>
      </c>
      <c r="C6" s="177" t="s">
        <v>792</v>
      </c>
      <c r="D6" s="177" t="s">
        <v>3244</v>
      </c>
      <c r="E6" s="177" t="s">
        <v>3245</v>
      </c>
      <c r="F6" s="177" t="s">
        <v>921</v>
      </c>
      <c r="G6" s="177" t="s">
        <v>3246</v>
      </c>
      <c r="H6" s="177" t="s">
        <v>3247</v>
      </c>
    </row>
    <row r="7" spans="1:8">
      <c r="A7" s="29" t="s">
        <v>3248</v>
      </c>
      <c r="B7" s="28" t="s">
        <v>3249</v>
      </c>
      <c r="C7" s="28" t="s">
        <v>3250</v>
      </c>
      <c r="D7" s="28" t="s">
        <v>3251</v>
      </c>
      <c r="E7" s="29" t="s">
        <v>67</v>
      </c>
      <c r="F7" s="178" t="s">
        <v>930</v>
      </c>
      <c r="G7" s="29">
        <v>22</v>
      </c>
      <c r="H7" s="28" t="s">
        <v>3252</v>
      </c>
    </row>
    <row r="8" spans="1:8">
      <c r="A8" s="32" t="s">
        <v>3253</v>
      </c>
      <c r="B8" s="31" t="s">
        <v>3254</v>
      </c>
      <c r="C8" s="31" t="s">
        <v>3255</v>
      </c>
      <c r="D8" s="31" t="s">
        <v>3256</v>
      </c>
      <c r="E8" s="32" t="s">
        <v>947</v>
      </c>
      <c r="F8" s="179" t="s">
        <v>930</v>
      </c>
      <c r="G8" s="32">
        <v>15</v>
      </c>
      <c r="H8" s="31" t="s">
        <v>3257</v>
      </c>
    </row>
    <row r="9" spans="1:8">
      <c r="A9" s="29" t="s">
        <v>3258</v>
      </c>
      <c r="B9" s="28" t="s">
        <v>458</v>
      </c>
      <c r="C9" s="28" t="s">
        <v>3259</v>
      </c>
      <c r="D9" s="28" t="s">
        <v>3260</v>
      </c>
      <c r="E9" s="29" t="s">
        <v>36</v>
      </c>
      <c r="F9" s="178" t="s">
        <v>930</v>
      </c>
      <c r="G9" s="29">
        <v>13</v>
      </c>
      <c r="H9" s="28" t="s">
        <v>3261</v>
      </c>
    </row>
    <row r="10" spans="1:8">
      <c r="A10" s="32" t="s">
        <v>3262</v>
      </c>
      <c r="B10" s="31" t="s">
        <v>3263</v>
      </c>
      <c r="C10" s="31" t="s">
        <v>3264</v>
      </c>
      <c r="D10" s="31" t="s">
        <v>3265</v>
      </c>
      <c r="E10" s="32" t="s">
        <v>971</v>
      </c>
      <c r="F10" s="179" t="s">
        <v>930</v>
      </c>
      <c r="G10" s="32">
        <v>16</v>
      </c>
      <c r="H10" s="31" t="s">
        <v>3266</v>
      </c>
    </row>
    <row r="11" spans="1:8">
      <c r="A11" s="29" t="s">
        <v>3267</v>
      </c>
      <c r="B11" s="28" t="s">
        <v>3268</v>
      </c>
      <c r="C11" s="28" t="s">
        <v>3269</v>
      </c>
      <c r="D11" s="28" t="s">
        <v>3270</v>
      </c>
      <c r="E11" s="29" t="s">
        <v>804</v>
      </c>
      <c r="F11" s="178" t="s">
        <v>930</v>
      </c>
      <c r="G11" s="29">
        <v>11</v>
      </c>
      <c r="H11" s="28" t="s">
        <v>3271</v>
      </c>
    </row>
    <row r="12" spans="1:8">
      <c r="A12" s="32" t="s">
        <v>3272</v>
      </c>
      <c r="B12" s="31" t="s">
        <v>3273</v>
      </c>
      <c r="C12" s="31" t="s">
        <v>797</v>
      </c>
      <c r="D12" s="31" t="s">
        <v>3274</v>
      </c>
      <c r="E12" s="32" t="s">
        <v>51</v>
      </c>
      <c r="F12" s="179" t="s">
        <v>930</v>
      </c>
      <c r="G12" s="32">
        <v>9</v>
      </c>
      <c r="H12" s="31" t="s">
        <v>3275</v>
      </c>
    </row>
    <row r="13" spans="1:8">
      <c r="A13" s="29" t="s">
        <v>3276</v>
      </c>
      <c r="B13" s="28" t="s">
        <v>1238</v>
      </c>
      <c r="C13" s="28" t="s">
        <v>3277</v>
      </c>
      <c r="D13" s="28" t="s">
        <v>3278</v>
      </c>
      <c r="E13" s="29" t="s">
        <v>109</v>
      </c>
      <c r="F13" s="178" t="s">
        <v>930</v>
      </c>
      <c r="G13" s="29">
        <v>16</v>
      </c>
      <c r="H13" s="28" t="s">
        <v>3279</v>
      </c>
    </row>
    <row r="14" spans="1:8">
      <c r="A14" s="32" t="s">
        <v>3280</v>
      </c>
      <c r="B14" s="31" t="s">
        <v>3281</v>
      </c>
      <c r="C14" s="31" t="s">
        <v>3282</v>
      </c>
      <c r="D14" s="31" t="s">
        <v>3283</v>
      </c>
      <c r="E14" s="32" t="s">
        <v>56</v>
      </c>
      <c r="F14" s="179" t="s">
        <v>930</v>
      </c>
      <c r="G14" s="32">
        <v>8</v>
      </c>
      <c r="H14" s="31" t="s">
        <v>3284</v>
      </c>
    </row>
    <row r="15" spans="1:8">
      <c r="A15" s="29" t="s">
        <v>3285</v>
      </c>
      <c r="B15" s="28" t="s">
        <v>3286</v>
      </c>
      <c r="C15" s="28" t="s">
        <v>3287</v>
      </c>
      <c r="D15" s="28" t="s">
        <v>3288</v>
      </c>
      <c r="E15" s="29" t="s">
        <v>62</v>
      </c>
      <c r="F15" s="178" t="s">
        <v>930</v>
      </c>
      <c r="G15" s="29">
        <v>14</v>
      </c>
      <c r="H15" s="28" t="s">
        <v>3289</v>
      </c>
    </row>
    <row r="16" spans="1:8">
      <c r="A16" s="32" t="s">
        <v>3290</v>
      </c>
      <c r="B16" s="31" t="s">
        <v>3291</v>
      </c>
      <c r="C16" s="31" t="s">
        <v>3292</v>
      </c>
      <c r="D16" s="31" t="s">
        <v>3293</v>
      </c>
      <c r="E16" s="32" t="s">
        <v>1004</v>
      </c>
      <c r="F16" s="179" t="s">
        <v>930</v>
      </c>
      <c r="G16" s="32">
        <v>12</v>
      </c>
      <c r="H16" s="31" t="s">
        <v>3294</v>
      </c>
    </row>
    <row r="17" spans="1:8">
      <c r="A17" s="29" t="s">
        <v>3295</v>
      </c>
      <c r="B17" s="28" t="s">
        <v>3296</v>
      </c>
      <c r="C17" s="28" t="s">
        <v>3297</v>
      </c>
      <c r="D17" s="28" t="s">
        <v>3298</v>
      </c>
      <c r="E17" s="29" t="s">
        <v>940</v>
      </c>
      <c r="F17" s="178" t="s">
        <v>930</v>
      </c>
      <c r="G17" s="29">
        <v>9</v>
      </c>
      <c r="H17" s="28" t="s">
        <v>3299</v>
      </c>
    </row>
    <row r="18" spans="1:8">
      <c r="A18" s="32" t="s">
        <v>3300</v>
      </c>
      <c r="B18" s="31" t="s">
        <v>3301</v>
      </c>
      <c r="C18" s="31" t="s">
        <v>3302</v>
      </c>
      <c r="D18" s="31" t="s">
        <v>3303</v>
      </c>
      <c r="E18" s="32" t="s">
        <v>940</v>
      </c>
      <c r="F18" s="179" t="s">
        <v>930</v>
      </c>
      <c r="G18" s="32">
        <v>10</v>
      </c>
      <c r="H18" s="31" t="s">
        <v>3304</v>
      </c>
    </row>
    <row r="19" spans="1:8">
      <c r="A19" s="29" t="s">
        <v>3305</v>
      </c>
      <c r="B19" s="28" t="s">
        <v>3306</v>
      </c>
      <c r="C19" s="28" t="s">
        <v>3307</v>
      </c>
      <c r="D19" s="28" t="s">
        <v>3308</v>
      </c>
      <c r="E19" s="29" t="s">
        <v>7</v>
      </c>
      <c r="F19" s="178" t="s">
        <v>930</v>
      </c>
      <c r="G19" s="29">
        <v>30</v>
      </c>
      <c r="H19" s="28" t="s">
        <v>3309</v>
      </c>
    </row>
    <row r="20" spans="1:8">
      <c r="A20" s="32" t="s">
        <v>3310</v>
      </c>
      <c r="B20" s="31" t="s">
        <v>3311</v>
      </c>
      <c r="C20" s="31" t="s">
        <v>3312</v>
      </c>
      <c r="D20" s="31" t="s">
        <v>3313</v>
      </c>
      <c r="E20" s="32" t="s">
        <v>994</v>
      </c>
      <c r="F20" s="179" t="s">
        <v>930</v>
      </c>
      <c r="G20" s="32">
        <v>12</v>
      </c>
      <c r="H20" s="31" t="s">
        <v>3314</v>
      </c>
    </row>
    <row r="21" spans="1:8">
      <c r="A21" s="29" t="s">
        <v>3315</v>
      </c>
      <c r="B21" s="28" t="s">
        <v>3316</v>
      </c>
      <c r="C21" s="28" t="s">
        <v>3317</v>
      </c>
      <c r="D21" s="28" t="s">
        <v>3318</v>
      </c>
      <c r="E21" s="29" t="s">
        <v>137</v>
      </c>
      <c r="F21" s="178" t="s">
        <v>930</v>
      </c>
      <c r="G21" s="29">
        <v>12</v>
      </c>
      <c r="H21" s="28" t="s">
        <v>3319</v>
      </c>
    </row>
    <row r="22" spans="1:8">
      <c r="A22" s="32" t="s">
        <v>3320</v>
      </c>
      <c r="B22" s="31" t="s">
        <v>3321</v>
      </c>
      <c r="C22" s="31" t="s">
        <v>3322</v>
      </c>
      <c r="D22" s="31" t="s">
        <v>3323</v>
      </c>
      <c r="E22" s="32" t="s">
        <v>29</v>
      </c>
      <c r="F22" s="179" t="s">
        <v>930</v>
      </c>
      <c r="G22" s="32">
        <v>9</v>
      </c>
      <c r="H22" s="31" t="s">
        <v>3324</v>
      </c>
    </row>
    <row r="23" spans="1:8">
      <c r="A23" s="29" t="s">
        <v>3325</v>
      </c>
      <c r="B23" s="28" t="s">
        <v>614</v>
      </c>
      <c r="C23" s="28" t="s">
        <v>3326</v>
      </c>
      <c r="D23" s="28" t="s">
        <v>3327</v>
      </c>
      <c r="E23" s="29" t="s">
        <v>9</v>
      </c>
      <c r="F23" s="178" t="s">
        <v>930</v>
      </c>
      <c r="G23" s="29">
        <v>7</v>
      </c>
      <c r="H23" s="28" t="s">
        <v>3328</v>
      </c>
    </row>
    <row r="24" spans="1:8">
      <c r="A24" s="32" t="s">
        <v>3329</v>
      </c>
      <c r="B24" s="31" t="s">
        <v>3330</v>
      </c>
      <c r="C24" s="31" t="s">
        <v>3331</v>
      </c>
      <c r="D24" s="31" t="s">
        <v>3332</v>
      </c>
      <c r="E24" s="32" t="s">
        <v>9</v>
      </c>
      <c r="F24" s="179" t="s">
        <v>930</v>
      </c>
      <c r="G24" s="32">
        <v>8</v>
      </c>
      <c r="H24" s="31" t="s">
        <v>3333</v>
      </c>
    </row>
    <row r="25" spans="1:8">
      <c r="A25" s="29" t="s">
        <v>3334</v>
      </c>
      <c r="B25" s="28" t="s">
        <v>696</v>
      </c>
      <c r="C25" s="28" t="s">
        <v>3335</v>
      </c>
      <c r="D25" s="28" t="s">
        <v>3336</v>
      </c>
      <c r="E25" s="29" t="s">
        <v>9</v>
      </c>
      <c r="F25" s="178" t="s">
        <v>930</v>
      </c>
      <c r="G25" s="29">
        <v>9</v>
      </c>
      <c r="H25" s="28" t="s">
        <v>3337</v>
      </c>
    </row>
    <row r="26" spans="1:8">
      <c r="A26" s="32" t="s">
        <v>3338</v>
      </c>
      <c r="B26" s="31" t="s">
        <v>3339</v>
      </c>
      <c r="C26" s="31" t="s">
        <v>3340</v>
      </c>
      <c r="D26" s="31" t="s">
        <v>3341</v>
      </c>
      <c r="E26" s="32" t="s">
        <v>9</v>
      </c>
      <c r="F26" s="179" t="s">
        <v>930</v>
      </c>
      <c r="G26" s="32">
        <v>4</v>
      </c>
      <c r="H26" s="31" t="s">
        <v>3342</v>
      </c>
    </row>
    <row r="27" spans="1:8">
      <c r="A27" s="29" t="s">
        <v>3343</v>
      </c>
      <c r="B27" s="28" t="s">
        <v>3344</v>
      </c>
      <c r="C27" s="28" t="s">
        <v>807</v>
      </c>
      <c r="D27" s="28" t="s">
        <v>3345</v>
      </c>
      <c r="E27" s="29" t="s">
        <v>3346</v>
      </c>
      <c r="F27" s="178" t="s">
        <v>930</v>
      </c>
      <c r="G27" s="29">
        <v>2</v>
      </c>
      <c r="H27" s="28" t="s">
        <v>3347</v>
      </c>
    </row>
    <row r="28" spans="1:8"/>
    <row r="29" spans="1:8" ht="18.75">
      <c r="A29" s="238" t="s">
        <v>3348</v>
      </c>
      <c r="B29" s="191"/>
      <c r="C29" s="191"/>
      <c r="D29" s="191"/>
      <c r="E29" s="191"/>
      <c r="F29" s="191"/>
      <c r="G29" s="191"/>
      <c r="H29" s="191"/>
    </row>
    <row r="30" spans="1:8">
      <c r="A30" s="177" t="s">
        <v>3349</v>
      </c>
      <c r="B30" s="177" t="s">
        <v>3350</v>
      </c>
      <c r="C30" s="177" t="s">
        <v>3243</v>
      </c>
      <c r="D30" s="177" t="s">
        <v>3245</v>
      </c>
      <c r="E30" s="177" t="s">
        <v>3351</v>
      </c>
      <c r="F30" s="177" t="s">
        <v>921</v>
      </c>
      <c r="G30" s="177" t="s">
        <v>277</v>
      </c>
      <c r="H30" s="177" t="s">
        <v>78</v>
      </c>
    </row>
    <row r="31" spans="1:8">
      <c r="A31" s="180" t="s">
        <v>1042</v>
      </c>
      <c r="B31" s="181" t="s">
        <v>1043</v>
      </c>
      <c r="C31" s="180" t="s">
        <v>3249</v>
      </c>
      <c r="D31" s="181" t="s">
        <v>67</v>
      </c>
      <c r="E31" s="181" t="s">
        <v>3352</v>
      </c>
      <c r="F31" s="182" t="s">
        <v>930</v>
      </c>
      <c r="G31" s="183" t="s">
        <v>346</v>
      </c>
      <c r="H31" s="181" t="s">
        <v>3353</v>
      </c>
    </row>
    <row r="32" spans="1:8">
      <c r="A32" s="184" t="s">
        <v>1066</v>
      </c>
      <c r="B32" s="185" t="s">
        <v>1067</v>
      </c>
      <c r="C32" s="184" t="s">
        <v>3249</v>
      </c>
      <c r="D32" s="185" t="s">
        <v>67</v>
      </c>
      <c r="E32" s="185" t="s">
        <v>3354</v>
      </c>
      <c r="F32" s="186" t="s">
        <v>930</v>
      </c>
      <c r="G32" s="183" t="s">
        <v>346</v>
      </c>
      <c r="H32" s="185" t="s">
        <v>3353</v>
      </c>
    </row>
    <row r="33" spans="1:8">
      <c r="A33" s="180" t="s">
        <v>1083</v>
      </c>
      <c r="B33" s="181" t="s">
        <v>1084</v>
      </c>
      <c r="C33" s="180" t="s">
        <v>3249</v>
      </c>
      <c r="D33" s="181" t="s">
        <v>67</v>
      </c>
      <c r="E33" s="181" t="s">
        <v>3355</v>
      </c>
      <c r="F33" s="182" t="s">
        <v>930</v>
      </c>
      <c r="G33" s="183" t="s">
        <v>346</v>
      </c>
      <c r="H33" s="181" t="s">
        <v>345</v>
      </c>
    </row>
    <row r="34" spans="1:8">
      <c r="A34" s="184" t="s">
        <v>343</v>
      </c>
      <c r="B34" s="185" t="s">
        <v>344</v>
      </c>
      <c r="C34" s="184" t="s">
        <v>3249</v>
      </c>
      <c r="D34" s="185" t="s">
        <v>67</v>
      </c>
      <c r="E34" s="185" t="s">
        <v>3356</v>
      </c>
      <c r="F34" s="186" t="s">
        <v>930</v>
      </c>
      <c r="G34" s="183" t="s">
        <v>346</v>
      </c>
      <c r="H34" s="185" t="s">
        <v>3357</v>
      </c>
    </row>
    <row r="35" spans="1:8">
      <c r="A35" s="180" t="s">
        <v>1136</v>
      </c>
      <c r="B35" s="181" t="s">
        <v>1137</v>
      </c>
      <c r="C35" s="180" t="s">
        <v>3249</v>
      </c>
      <c r="D35" s="181" t="s">
        <v>67</v>
      </c>
      <c r="E35" s="181" t="s">
        <v>3358</v>
      </c>
      <c r="F35" s="182" t="s">
        <v>930</v>
      </c>
      <c r="G35" s="183" t="s">
        <v>346</v>
      </c>
      <c r="H35" s="181" t="s">
        <v>3359</v>
      </c>
    </row>
    <row r="36" spans="1:8">
      <c r="A36" s="184" t="s">
        <v>1289</v>
      </c>
      <c r="B36" s="185" t="s">
        <v>1290</v>
      </c>
      <c r="C36" s="184" t="s">
        <v>3249</v>
      </c>
      <c r="D36" s="185" t="s">
        <v>67</v>
      </c>
      <c r="E36" s="185" t="s">
        <v>3360</v>
      </c>
      <c r="F36" s="186" t="s">
        <v>930</v>
      </c>
      <c r="G36" s="183" t="s">
        <v>346</v>
      </c>
      <c r="H36" s="185" t="s">
        <v>3353</v>
      </c>
    </row>
    <row r="37" spans="1:8">
      <c r="A37" s="180" t="s">
        <v>706</v>
      </c>
      <c r="B37" s="181" t="s">
        <v>1485</v>
      </c>
      <c r="C37" s="180" t="s">
        <v>3254</v>
      </c>
      <c r="D37" s="181" t="s">
        <v>947</v>
      </c>
      <c r="E37" s="181" t="s">
        <v>3361</v>
      </c>
      <c r="F37" s="182" t="s">
        <v>930</v>
      </c>
      <c r="G37" s="183" t="s">
        <v>3362</v>
      </c>
      <c r="H37" s="181" t="s">
        <v>1487</v>
      </c>
    </row>
    <row r="38" spans="1:8">
      <c r="A38" s="184" t="s">
        <v>1050</v>
      </c>
      <c r="B38" s="185" t="s">
        <v>1494</v>
      </c>
      <c r="C38" s="184" t="s">
        <v>3254</v>
      </c>
      <c r="D38" s="185" t="s">
        <v>947</v>
      </c>
      <c r="E38" s="185" t="s">
        <v>3363</v>
      </c>
      <c r="F38" s="186" t="s">
        <v>930</v>
      </c>
      <c r="G38" s="183" t="s">
        <v>3362</v>
      </c>
      <c r="H38" s="185" t="s">
        <v>3364</v>
      </c>
    </row>
    <row r="39" spans="1:8">
      <c r="A39" s="180" t="s">
        <v>741</v>
      </c>
      <c r="B39" s="181" t="s">
        <v>1544</v>
      </c>
      <c r="C39" s="180" t="s">
        <v>3254</v>
      </c>
      <c r="D39" s="181" t="s">
        <v>947</v>
      </c>
      <c r="E39" s="181" t="s">
        <v>3365</v>
      </c>
      <c r="F39" s="182" t="s">
        <v>930</v>
      </c>
      <c r="G39" s="183" t="s">
        <v>3362</v>
      </c>
      <c r="H39" s="181" t="s">
        <v>3366</v>
      </c>
    </row>
    <row r="40" spans="1:8">
      <c r="A40" s="184" t="s">
        <v>718</v>
      </c>
      <c r="B40" s="185" t="s">
        <v>1570</v>
      </c>
      <c r="C40" s="184" t="s">
        <v>3254</v>
      </c>
      <c r="D40" s="185" t="s">
        <v>947</v>
      </c>
      <c r="E40" s="185" t="s">
        <v>3367</v>
      </c>
      <c r="F40" s="186" t="s">
        <v>930</v>
      </c>
      <c r="G40" s="183" t="s">
        <v>3362</v>
      </c>
      <c r="H40" s="185" t="s">
        <v>1572</v>
      </c>
    </row>
    <row r="41" spans="1:8">
      <c r="A41" s="180" t="s">
        <v>263</v>
      </c>
      <c r="B41" s="181" t="s">
        <v>3368</v>
      </c>
      <c r="C41" s="180" t="s">
        <v>458</v>
      </c>
      <c r="D41" s="181" t="s">
        <v>36</v>
      </c>
      <c r="E41" s="181" t="s">
        <v>3369</v>
      </c>
      <c r="F41" s="182" t="s">
        <v>930</v>
      </c>
      <c r="G41" s="187" t="s">
        <v>261</v>
      </c>
      <c r="H41" s="181" t="s">
        <v>3370</v>
      </c>
    </row>
    <row r="42" spans="1:8">
      <c r="A42" s="184" t="s">
        <v>270</v>
      </c>
      <c r="B42" s="185" t="s">
        <v>271</v>
      </c>
      <c r="C42" s="184" t="s">
        <v>458</v>
      </c>
      <c r="D42" s="185" t="s">
        <v>36</v>
      </c>
      <c r="E42" s="185" t="s">
        <v>3371</v>
      </c>
      <c r="F42" s="186" t="s">
        <v>930</v>
      </c>
      <c r="G42" s="187" t="s">
        <v>261</v>
      </c>
      <c r="H42" s="185" t="s">
        <v>3372</v>
      </c>
    </row>
    <row r="43" spans="1:8">
      <c r="A43" s="180" t="s">
        <v>1170</v>
      </c>
      <c r="B43" s="181" t="s">
        <v>1854</v>
      </c>
      <c r="C43" s="180" t="s">
        <v>458</v>
      </c>
      <c r="D43" s="181" t="s">
        <v>36</v>
      </c>
      <c r="E43" s="181" t="s">
        <v>3373</v>
      </c>
      <c r="F43" s="182" t="s">
        <v>930</v>
      </c>
      <c r="G43" s="187" t="s">
        <v>261</v>
      </c>
      <c r="H43" s="181" t="s">
        <v>3374</v>
      </c>
    </row>
    <row r="44" spans="1:8">
      <c r="A44" s="184" t="s">
        <v>265</v>
      </c>
      <c r="B44" s="185" t="s">
        <v>266</v>
      </c>
      <c r="C44" s="184" t="s">
        <v>458</v>
      </c>
      <c r="D44" s="185" t="s">
        <v>36</v>
      </c>
      <c r="E44" s="185" t="s">
        <v>3375</v>
      </c>
      <c r="F44" s="186" t="s">
        <v>930</v>
      </c>
      <c r="G44" s="187" t="s">
        <v>261</v>
      </c>
      <c r="H44" s="185" t="s">
        <v>3376</v>
      </c>
    </row>
    <row r="45" spans="1:8">
      <c r="A45" s="180" t="s">
        <v>259</v>
      </c>
      <c r="B45" s="181" t="s">
        <v>260</v>
      </c>
      <c r="C45" s="180" t="s">
        <v>458</v>
      </c>
      <c r="D45" s="181" t="s">
        <v>36</v>
      </c>
      <c r="E45" s="181" t="s">
        <v>3377</v>
      </c>
      <c r="F45" s="182" t="s">
        <v>930</v>
      </c>
      <c r="G45" s="187" t="s">
        <v>261</v>
      </c>
      <c r="H45" s="181" t="s">
        <v>3378</v>
      </c>
    </row>
    <row r="46" spans="1:8">
      <c r="A46" s="184" t="s">
        <v>764</v>
      </c>
      <c r="B46" s="185" t="s">
        <v>3379</v>
      </c>
      <c r="C46" s="184" t="s">
        <v>3263</v>
      </c>
      <c r="D46" s="185" t="s">
        <v>971</v>
      </c>
      <c r="E46" s="185" t="s">
        <v>3380</v>
      </c>
      <c r="F46" s="186" t="s">
        <v>930</v>
      </c>
      <c r="G46" s="183" t="s">
        <v>2096</v>
      </c>
      <c r="H46" s="185" t="s">
        <v>3381</v>
      </c>
    </row>
    <row r="47" spans="1:8">
      <c r="A47" s="180" t="s">
        <v>674</v>
      </c>
      <c r="B47" s="181" t="s">
        <v>3382</v>
      </c>
      <c r="C47" s="180" t="s">
        <v>3263</v>
      </c>
      <c r="D47" s="181" t="s">
        <v>971</v>
      </c>
      <c r="E47" s="181" t="s">
        <v>3383</v>
      </c>
      <c r="F47" s="182" t="s">
        <v>930</v>
      </c>
      <c r="G47" s="183" t="s">
        <v>2096</v>
      </c>
      <c r="H47" s="181" t="s">
        <v>3384</v>
      </c>
    </row>
    <row r="48" spans="1:8">
      <c r="A48" s="184" t="s">
        <v>2150</v>
      </c>
      <c r="B48" s="185" t="s">
        <v>3385</v>
      </c>
      <c r="C48" s="184" t="s">
        <v>3263</v>
      </c>
      <c r="D48" s="185" t="s">
        <v>971</v>
      </c>
      <c r="E48" s="185" t="s">
        <v>3386</v>
      </c>
      <c r="F48" s="186" t="s">
        <v>930</v>
      </c>
      <c r="G48" s="183" t="s">
        <v>2126</v>
      </c>
      <c r="H48" s="185" t="s">
        <v>3387</v>
      </c>
    </row>
    <row r="49" spans="1:8">
      <c r="A49" s="180" t="s">
        <v>655</v>
      </c>
      <c r="B49" s="181" t="s">
        <v>3388</v>
      </c>
      <c r="C49" s="180" t="s">
        <v>3263</v>
      </c>
      <c r="D49" s="181" t="s">
        <v>971</v>
      </c>
      <c r="E49" s="181" t="s">
        <v>3389</v>
      </c>
      <c r="F49" s="182" t="s">
        <v>930</v>
      </c>
      <c r="G49" s="183" t="s">
        <v>2096</v>
      </c>
      <c r="H49" s="181" t="s">
        <v>3390</v>
      </c>
    </row>
    <row r="50" spans="1:8">
      <c r="A50" s="184" t="s">
        <v>2235</v>
      </c>
      <c r="B50" s="185" t="s">
        <v>3391</v>
      </c>
      <c r="C50" s="184" t="s">
        <v>3263</v>
      </c>
      <c r="D50" s="185" t="s">
        <v>971</v>
      </c>
      <c r="E50" s="185" t="s">
        <v>3392</v>
      </c>
      <c r="F50" s="186" t="s">
        <v>930</v>
      </c>
      <c r="G50" s="183" t="s">
        <v>2096</v>
      </c>
      <c r="H50" s="185" t="s">
        <v>3393</v>
      </c>
    </row>
    <row r="51" spans="1:8">
      <c r="A51" s="180" t="s">
        <v>1195</v>
      </c>
      <c r="B51" s="181" t="s">
        <v>2415</v>
      </c>
      <c r="C51" s="180" t="s">
        <v>3267</v>
      </c>
      <c r="D51" s="181" t="s">
        <v>804</v>
      </c>
      <c r="E51" s="181" t="s">
        <v>3394</v>
      </c>
      <c r="F51" s="182" t="s">
        <v>930</v>
      </c>
      <c r="G51" s="188" t="s">
        <v>2416</v>
      </c>
      <c r="H51" s="181" t="s">
        <v>3395</v>
      </c>
    </row>
    <row r="52" spans="1:8">
      <c r="A52" s="184" t="s">
        <v>965</v>
      </c>
      <c r="B52" s="185" t="s">
        <v>2435</v>
      </c>
      <c r="C52" s="184" t="s">
        <v>3267</v>
      </c>
      <c r="D52" s="185" t="s">
        <v>804</v>
      </c>
      <c r="E52" s="185" t="s">
        <v>3396</v>
      </c>
      <c r="F52" s="186" t="s">
        <v>930</v>
      </c>
      <c r="G52" s="188" t="s">
        <v>2416</v>
      </c>
      <c r="H52" s="185" t="s">
        <v>3397</v>
      </c>
    </row>
    <row r="53" spans="1:8">
      <c r="A53" s="180" t="s">
        <v>1284</v>
      </c>
      <c r="B53" s="181" t="s">
        <v>1769</v>
      </c>
      <c r="C53" s="180" t="s">
        <v>3272</v>
      </c>
      <c r="D53" s="181" t="s">
        <v>51</v>
      </c>
      <c r="E53" s="181" t="s">
        <v>3398</v>
      </c>
      <c r="F53" s="182" t="s">
        <v>930</v>
      </c>
      <c r="G53" s="183" t="s">
        <v>75</v>
      </c>
      <c r="H53" s="181" t="s">
        <v>3399</v>
      </c>
    </row>
    <row r="54" spans="1:8">
      <c r="A54" s="184" t="s">
        <v>1228</v>
      </c>
      <c r="B54" s="185" t="s">
        <v>3400</v>
      </c>
      <c r="C54" s="184" t="s">
        <v>3272</v>
      </c>
      <c r="D54" s="185" t="s">
        <v>51</v>
      </c>
      <c r="E54" s="185" t="s">
        <v>3401</v>
      </c>
      <c r="F54" s="186" t="s">
        <v>930</v>
      </c>
      <c r="G54" s="188" t="s">
        <v>76</v>
      </c>
      <c r="H54" s="185" t="s">
        <v>3402</v>
      </c>
    </row>
    <row r="55" spans="1:8">
      <c r="A55" s="180" t="s">
        <v>364</v>
      </c>
      <c r="B55" s="181" t="s">
        <v>3403</v>
      </c>
      <c r="C55" s="180" t="s">
        <v>1238</v>
      </c>
      <c r="D55" s="181" t="s">
        <v>109</v>
      </c>
      <c r="E55" s="181" t="s">
        <v>3404</v>
      </c>
      <c r="F55" s="182" t="s">
        <v>930</v>
      </c>
      <c r="G55" s="188" t="s">
        <v>76</v>
      </c>
      <c r="H55" s="181" t="s">
        <v>3405</v>
      </c>
    </row>
    <row r="56" spans="1:8">
      <c r="A56" s="184" t="s">
        <v>1090</v>
      </c>
      <c r="B56" s="185" t="s">
        <v>1899</v>
      </c>
      <c r="C56" s="184" t="s">
        <v>1238</v>
      </c>
      <c r="D56" s="185" t="s">
        <v>109</v>
      </c>
      <c r="E56" s="185" t="s">
        <v>3406</v>
      </c>
      <c r="F56" s="186" t="s">
        <v>930</v>
      </c>
      <c r="G56" s="183" t="s">
        <v>75</v>
      </c>
      <c r="H56" s="185" t="s">
        <v>3407</v>
      </c>
    </row>
    <row r="57" spans="1:8">
      <c r="A57" s="180" t="s">
        <v>370</v>
      </c>
      <c r="B57" s="181" t="s">
        <v>1928</v>
      </c>
      <c r="C57" s="180" t="s">
        <v>1238</v>
      </c>
      <c r="D57" s="181" t="s">
        <v>109</v>
      </c>
      <c r="E57" s="181" t="s">
        <v>3408</v>
      </c>
      <c r="F57" s="182" t="s">
        <v>930</v>
      </c>
      <c r="G57" s="188" t="s">
        <v>76</v>
      </c>
      <c r="H57" s="181" t="s">
        <v>2680</v>
      </c>
    </row>
    <row r="58" spans="1:8">
      <c r="A58" s="184" t="s">
        <v>1184</v>
      </c>
      <c r="B58" s="185" t="s">
        <v>3409</v>
      </c>
      <c r="C58" s="184" t="s">
        <v>3281</v>
      </c>
      <c r="D58" s="185" t="s">
        <v>56</v>
      </c>
      <c r="E58" s="185" t="s">
        <v>3410</v>
      </c>
      <c r="F58" s="186" t="s">
        <v>930</v>
      </c>
      <c r="G58" s="189" t="s">
        <v>1691</v>
      </c>
      <c r="H58" s="185" t="s">
        <v>3411</v>
      </c>
    </row>
    <row r="59" spans="1:8">
      <c r="A59" s="180" t="s">
        <v>1274</v>
      </c>
      <c r="B59" s="181" t="s">
        <v>3412</v>
      </c>
      <c r="C59" s="180" t="s">
        <v>3281</v>
      </c>
      <c r="D59" s="181" t="s">
        <v>56</v>
      </c>
      <c r="E59" s="181" t="s">
        <v>3413</v>
      </c>
      <c r="F59" s="182" t="s">
        <v>930</v>
      </c>
      <c r="G59" s="189" t="s">
        <v>1691</v>
      </c>
      <c r="H59" s="181" t="s">
        <v>3414</v>
      </c>
    </row>
    <row r="60" spans="1:8">
      <c r="A60" s="184" t="s">
        <v>1229</v>
      </c>
      <c r="B60" s="185" t="s">
        <v>3415</v>
      </c>
      <c r="C60" s="184" t="s">
        <v>3281</v>
      </c>
      <c r="D60" s="185" t="s">
        <v>56</v>
      </c>
      <c r="E60" s="185" t="s">
        <v>3416</v>
      </c>
      <c r="F60" s="186" t="s">
        <v>930</v>
      </c>
      <c r="G60" s="189" t="s">
        <v>1691</v>
      </c>
      <c r="H60" s="185" t="s">
        <v>3417</v>
      </c>
    </row>
    <row r="61" spans="1:8">
      <c r="A61" s="180" t="s">
        <v>543</v>
      </c>
      <c r="B61" s="181" t="s">
        <v>3001</v>
      </c>
      <c r="C61" s="180" t="s">
        <v>3291</v>
      </c>
      <c r="D61" s="181" t="s">
        <v>1004</v>
      </c>
      <c r="E61" s="181" t="s">
        <v>3418</v>
      </c>
      <c r="F61" s="182" t="s">
        <v>930</v>
      </c>
      <c r="G61" s="188" t="s">
        <v>1108</v>
      </c>
      <c r="H61" s="181" t="s">
        <v>3419</v>
      </c>
    </row>
    <row r="62" spans="1:8">
      <c r="A62" s="184" t="s">
        <v>530</v>
      </c>
      <c r="B62" s="185" t="s">
        <v>3420</v>
      </c>
      <c r="C62" s="184" t="s">
        <v>3291</v>
      </c>
      <c r="D62" s="185" t="s">
        <v>1004</v>
      </c>
      <c r="E62" s="185" t="s">
        <v>3421</v>
      </c>
      <c r="F62" s="186" t="s">
        <v>930</v>
      </c>
      <c r="G62" s="183" t="s">
        <v>2411</v>
      </c>
      <c r="H62" s="185" t="s">
        <v>3422</v>
      </c>
    </row>
    <row r="63" spans="1:8">
      <c r="A63" s="180" t="s">
        <v>536</v>
      </c>
      <c r="B63" s="181" t="s">
        <v>3056</v>
      </c>
      <c r="C63" s="180" t="s">
        <v>3291</v>
      </c>
      <c r="D63" s="181" t="s">
        <v>1004</v>
      </c>
      <c r="E63" s="181" t="s">
        <v>3423</v>
      </c>
      <c r="F63" s="182" t="s">
        <v>930</v>
      </c>
      <c r="G63" s="183" t="s">
        <v>2411</v>
      </c>
      <c r="H63" s="181" t="s">
        <v>3424</v>
      </c>
    </row>
    <row r="64" spans="1:8">
      <c r="A64" s="184" t="s">
        <v>1343</v>
      </c>
      <c r="B64" s="185" t="s">
        <v>125</v>
      </c>
      <c r="C64" s="184" t="s">
        <v>3188</v>
      </c>
      <c r="D64" s="185" t="s">
        <v>940</v>
      </c>
      <c r="E64" s="185" t="s">
        <v>3425</v>
      </c>
      <c r="F64" s="186" t="s">
        <v>930</v>
      </c>
      <c r="G64" s="183" t="s">
        <v>3426</v>
      </c>
      <c r="H64" s="185" t="s">
        <v>3427</v>
      </c>
    </row>
    <row r="65" spans="1:8">
      <c r="A65" s="180" t="s">
        <v>1352</v>
      </c>
      <c r="B65" s="181" t="s">
        <v>605</v>
      </c>
      <c r="C65" s="180" t="s">
        <v>3188</v>
      </c>
      <c r="D65" s="181" t="s">
        <v>940</v>
      </c>
      <c r="E65" s="181" t="s">
        <v>3428</v>
      </c>
      <c r="F65" s="182" t="s">
        <v>930</v>
      </c>
      <c r="G65" s="183" t="s">
        <v>3426</v>
      </c>
      <c r="H65" s="181" t="s">
        <v>3429</v>
      </c>
    </row>
    <row r="66" spans="1:8">
      <c r="A66" s="184" t="s">
        <v>1387</v>
      </c>
      <c r="B66" s="185" t="s">
        <v>3430</v>
      </c>
      <c r="C66" s="184" t="s">
        <v>3188</v>
      </c>
      <c r="D66" s="185" t="s">
        <v>940</v>
      </c>
      <c r="E66" s="185" t="s">
        <v>3431</v>
      </c>
      <c r="F66" s="186" t="s">
        <v>930</v>
      </c>
      <c r="G66" s="183" t="s">
        <v>3426</v>
      </c>
      <c r="H66" s="185" t="s">
        <v>3432</v>
      </c>
    </row>
    <row r="67" spans="1:8">
      <c r="A67" s="180" t="s">
        <v>1062</v>
      </c>
      <c r="B67" s="181" t="s">
        <v>3433</v>
      </c>
      <c r="C67" s="180" t="s">
        <v>323</v>
      </c>
      <c r="D67" s="181" t="s">
        <v>7</v>
      </c>
      <c r="E67" s="181" t="s">
        <v>3434</v>
      </c>
      <c r="F67" s="182" t="s">
        <v>930</v>
      </c>
      <c r="G67" s="183" t="s">
        <v>302</v>
      </c>
      <c r="H67" s="181" t="s">
        <v>3435</v>
      </c>
    </row>
    <row r="68" spans="1:8">
      <c r="A68" s="184" t="s">
        <v>469</v>
      </c>
      <c r="B68" s="185" t="s">
        <v>3436</v>
      </c>
      <c r="C68" s="184" t="s">
        <v>323</v>
      </c>
      <c r="D68" s="185" t="s">
        <v>7</v>
      </c>
      <c r="E68" s="185" t="s">
        <v>3437</v>
      </c>
      <c r="F68" s="186" t="s">
        <v>930</v>
      </c>
      <c r="G68" s="183" t="s">
        <v>302</v>
      </c>
      <c r="H68" s="185" t="s">
        <v>3438</v>
      </c>
    </row>
    <row r="69" spans="1:8">
      <c r="A69" s="180" t="s">
        <v>487</v>
      </c>
      <c r="B69" s="181" t="s">
        <v>3439</v>
      </c>
      <c r="C69" s="180" t="s">
        <v>323</v>
      </c>
      <c r="D69" s="181" t="s">
        <v>7</v>
      </c>
      <c r="E69" s="181" t="s">
        <v>3440</v>
      </c>
      <c r="F69" s="182" t="s">
        <v>930</v>
      </c>
      <c r="G69" s="183" t="s">
        <v>302</v>
      </c>
      <c r="H69" s="181" t="s">
        <v>3441</v>
      </c>
    </row>
    <row r="70" spans="1:8">
      <c r="A70" s="184" t="s">
        <v>707</v>
      </c>
      <c r="B70" s="185" t="s">
        <v>704</v>
      </c>
      <c r="C70" s="184" t="s">
        <v>3321</v>
      </c>
      <c r="D70" s="185" t="s">
        <v>29</v>
      </c>
      <c r="E70" s="185" t="s">
        <v>3442</v>
      </c>
      <c r="F70" s="186" t="s">
        <v>930</v>
      </c>
      <c r="G70" s="183" t="s">
        <v>3443</v>
      </c>
      <c r="H70" s="185" t="s">
        <v>2462</v>
      </c>
    </row>
    <row r="71" spans="1:8">
      <c r="A71" s="180" t="s">
        <v>742</v>
      </c>
      <c r="B71" s="181" t="s">
        <v>738</v>
      </c>
      <c r="C71" s="180" t="s">
        <v>3321</v>
      </c>
      <c r="D71" s="181" t="s">
        <v>29</v>
      </c>
      <c r="E71" s="181" t="s">
        <v>3444</v>
      </c>
      <c r="F71" s="182" t="s">
        <v>930</v>
      </c>
      <c r="G71" s="183" t="s">
        <v>3445</v>
      </c>
      <c r="H71" s="181" t="s">
        <v>3446</v>
      </c>
    </row>
    <row r="72" spans="1:8">
      <c r="A72" s="184" t="s">
        <v>752</v>
      </c>
      <c r="B72" s="185" t="s">
        <v>749</v>
      </c>
      <c r="C72" s="184" t="s">
        <v>3321</v>
      </c>
      <c r="D72" s="185" t="s">
        <v>29</v>
      </c>
      <c r="E72" s="185" t="s">
        <v>3447</v>
      </c>
      <c r="F72" s="186" t="s">
        <v>930</v>
      </c>
      <c r="G72" s="183" t="s">
        <v>3445</v>
      </c>
      <c r="H72" s="185" t="s">
        <v>3448</v>
      </c>
    </row>
  </sheetData>
  <mergeCells count="4">
    <mergeCell ref="A1:H1"/>
    <mergeCell ref="A2:H2"/>
    <mergeCell ref="A5:H5"/>
    <mergeCell ref="A29:H29"/>
  </mergeCells>
  <pageMargins left="0.7" right="0.7" top="0.75" bottom="0.75" header="0.3" footer="0.3"/>
  <pageSetup orientation="portrait"/>
  <headerFooter>
    <oddHeader>&amp;L&amp;C&amp;R</oddHeader>
    <oddFooter>&amp;L&amp;C&amp;R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9EB7-6155-4B94-972D-2847F83E1E09}">
  <sheetPr>
    <tabColor rgb="FF1F3864"/>
  </sheetPr>
  <dimension ref="A1:F28"/>
  <sheetViews>
    <sheetView tabSelected="1" workbookViewId="0">
      <selection sqref="A1:F1"/>
    </sheetView>
  </sheetViews>
  <sheetFormatPr defaultRowHeight="15"/>
  <cols>
    <col min="1" max="1" width="1.85546875" customWidth="1"/>
    <col min="2" max="2" width="11.42578125" customWidth="1"/>
    <col min="3" max="3" width="15.28515625" customWidth="1"/>
    <col min="4" max="4" width="9.5703125" customWidth="1"/>
    <col min="5" max="5" width="4.5703125" customWidth="1"/>
    <col min="6" max="6" width="11.42578125" customWidth="1"/>
  </cols>
  <sheetData>
    <row r="1" spans="1:6" ht="38.1" customHeight="1">
      <c r="A1" s="376" t="s">
        <v>3938</v>
      </c>
      <c r="B1" s="376"/>
      <c r="C1" s="376"/>
      <c r="D1" s="376"/>
      <c r="E1" s="376"/>
      <c r="F1" s="376"/>
    </row>
    <row r="2" spans="1:6" ht="36" customHeight="1">
      <c r="A2" s="570" t="s">
        <v>3939</v>
      </c>
      <c r="B2" s="570"/>
      <c r="C2" s="570"/>
      <c r="D2" s="570"/>
      <c r="E2" s="570"/>
      <c r="F2" s="570"/>
    </row>
    <row r="3" spans="1:6" ht="8.1" customHeight="1"/>
    <row r="4" spans="1:6" ht="24" customHeight="1">
      <c r="A4" s="571" t="s">
        <v>3940</v>
      </c>
      <c r="B4" s="572" t="s">
        <v>3941</v>
      </c>
      <c r="C4" s="572" t="s">
        <v>824</v>
      </c>
      <c r="D4" s="572" t="s">
        <v>3942</v>
      </c>
      <c r="E4" s="572" t="s">
        <v>3943</v>
      </c>
      <c r="F4" s="573" t="s">
        <v>15</v>
      </c>
    </row>
    <row r="5" spans="1:6" ht="38.25">
      <c r="A5" s="574">
        <v>1</v>
      </c>
      <c r="B5" s="575" t="s">
        <v>3944</v>
      </c>
      <c r="C5" s="575" t="s">
        <v>3945</v>
      </c>
      <c r="D5" s="575" t="s">
        <v>3946</v>
      </c>
      <c r="E5" s="275">
        <v>20</v>
      </c>
      <c r="F5" s="576" t="s">
        <v>67</v>
      </c>
    </row>
    <row r="6" spans="1:6" ht="38.25">
      <c r="A6" s="577">
        <v>2</v>
      </c>
      <c r="B6" s="578" t="s">
        <v>3947</v>
      </c>
      <c r="C6" s="578" t="s">
        <v>3948</v>
      </c>
      <c r="D6" s="578" t="s">
        <v>3949</v>
      </c>
      <c r="E6" s="281">
        <v>15</v>
      </c>
      <c r="F6" s="579" t="s">
        <v>36</v>
      </c>
    </row>
    <row r="7" spans="1:6" ht="38.25">
      <c r="A7" s="574">
        <v>3</v>
      </c>
      <c r="B7" s="575" t="s">
        <v>3950</v>
      </c>
      <c r="C7" s="575" t="s">
        <v>3951</v>
      </c>
      <c r="D7" s="575" t="s">
        <v>3952</v>
      </c>
      <c r="E7" s="275">
        <v>15</v>
      </c>
      <c r="F7" s="576" t="s">
        <v>51</v>
      </c>
    </row>
    <row r="8" spans="1:6" ht="38.25">
      <c r="A8" s="577">
        <v>4</v>
      </c>
      <c r="B8" s="578" t="s">
        <v>3953</v>
      </c>
      <c r="C8" s="578" t="s">
        <v>3954</v>
      </c>
      <c r="D8" s="578" t="s">
        <v>3955</v>
      </c>
      <c r="E8" s="281">
        <v>15</v>
      </c>
      <c r="F8" s="579" t="s">
        <v>804</v>
      </c>
    </row>
    <row r="9" spans="1:6" ht="38.25">
      <c r="A9" s="574">
        <v>5</v>
      </c>
      <c r="B9" s="575" t="s">
        <v>3956</v>
      </c>
      <c r="C9" s="575" t="s">
        <v>3957</v>
      </c>
      <c r="D9" s="575" t="s">
        <v>3958</v>
      </c>
      <c r="E9" s="275">
        <v>15</v>
      </c>
      <c r="F9" s="576" t="s">
        <v>56</v>
      </c>
    </row>
    <row r="10" spans="1:6" ht="38.25">
      <c r="A10" s="577">
        <v>6</v>
      </c>
      <c r="B10" s="578" t="s">
        <v>3959</v>
      </c>
      <c r="C10" s="578" t="s">
        <v>3960</v>
      </c>
      <c r="D10" s="578" t="s">
        <v>3961</v>
      </c>
      <c r="E10" s="281">
        <v>15</v>
      </c>
      <c r="F10" s="579" t="s">
        <v>109</v>
      </c>
    </row>
    <row r="11" spans="1:6" ht="38.25">
      <c r="A11" s="574">
        <v>7</v>
      </c>
      <c r="B11" s="575" t="s">
        <v>3962</v>
      </c>
      <c r="C11" s="575" t="s">
        <v>3963</v>
      </c>
      <c r="D11" s="575" t="s">
        <v>3964</v>
      </c>
      <c r="E11" s="275">
        <v>20</v>
      </c>
      <c r="F11" s="576" t="s">
        <v>971</v>
      </c>
    </row>
    <row r="12" spans="1:6" ht="38.25">
      <c r="A12" s="577">
        <v>8</v>
      </c>
      <c r="B12" s="578" t="s">
        <v>3965</v>
      </c>
      <c r="C12" s="578" t="s">
        <v>3966</v>
      </c>
      <c r="D12" s="578" t="s">
        <v>3967</v>
      </c>
      <c r="E12" s="281">
        <v>15</v>
      </c>
      <c r="F12" s="579" t="s">
        <v>947</v>
      </c>
    </row>
    <row r="13" spans="1:6" ht="38.25">
      <c r="A13" s="574">
        <v>9</v>
      </c>
      <c r="B13" s="575" t="s">
        <v>3968</v>
      </c>
      <c r="C13" s="575" t="s">
        <v>3969</v>
      </c>
      <c r="D13" s="575" t="s">
        <v>3970</v>
      </c>
      <c r="E13" s="275">
        <v>15</v>
      </c>
      <c r="F13" s="576" t="s">
        <v>951</v>
      </c>
    </row>
    <row r="14" spans="1:6" ht="38.25">
      <c r="A14" s="577">
        <v>10</v>
      </c>
      <c r="B14" s="578" t="s">
        <v>3971</v>
      </c>
      <c r="C14" s="578" t="s">
        <v>3972</v>
      </c>
      <c r="D14" s="578" t="s">
        <v>3973</v>
      </c>
      <c r="E14" s="281">
        <v>25</v>
      </c>
      <c r="F14" s="579" t="s">
        <v>954</v>
      </c>
    </row>
    <row r="15" spans="1:6" ht="38.25">
      <c r="A15" s="574">
        <v>11</v>
      </c>
      <c r="B15" s="575" t="s">
        <v>3974</v>
      </c>
      <c r="C15" s="575" t="s">
        <v>3975</v>
      </c>
      <c r="D15" s="575" t="s">
        <v>3976</v>
      </c>
      <c r="E15" s="275">
        <v>10</v>
      </c>
      <c r="F15" s="576" t="s">
        <v>940</v>
      </c>
    </row>
    <row r="16" spans="1:6" ht="38.25">
      <c r="A16" s="577">
        <v>12</v>
      </c>
      <c r="B16" s="578" t="s">
        <v>3977</v>
      </c>
      <c r="C16" s="578" t="s">
        <v>3978</v>
      </c>
      <c r="D16" s="578" t="s">
        <v>3979</v>
      </c>
      <c r="E16" s="281">
        <v>20</v>
      </c>
      <c r="F16" s="579" t="s">
        <v>944</v>
      </c>
    </row>
    <row r="17" spans="1:6" ht="38.25">
      <c r="A17" s="574">
        <v>13</v>
      </c>
      <c r="B17" s="575" t="s">
        <v>3980</v>
      </c>
      <c r="C17" s="575" t="s">
        <v>3981</v>
      </c>
      <c r="D17" s="575" t="s">
        <v>3982</v>
      </c>
      <c r="E17" s="275">
        <v>10</v>
      </c>
      <c r="F17" s="576" t="s">
        <v>29</v>
      </c>
    </row>
    <row r="18" spans="1:6" ht="38.25">
      <c r="A18" s="577">
        <v>14</v>
      </c>
      <c r="B18" s="578" t="s">
        <v>3983</v>
      </c>
      <c r="C18" s="578" t="s">
        <v>3984</v>
      </c>
      <c r="D18" s="578" t="s">
        <v>3985</v>
      </c>
      <c r="E18" s="281">
        <v>15</v>
      </c>
      <c r="F18" s="579" t="s">
        <v>1004</v>
      </c>
    </row>
    <row r="19" spans="1:6" ht="38.25">
      <c r="A19" s="574">
        <v>15</v>
      </c>
      <c r="B19" s="575" t="s">
        <v>3986</v>
      </c>
      <c r="C19" s="575" t="s">
        <v>3987</v>
      </c>
      <c r="D19" s="575" t="s">
        <v>3988</v>
      </c>
      <c r="E19" s="275">
        <v>15</v>
      </c>
      <c r="F19" s="576" t="s">
        <v>137</v>
      </c>
    </row>
    <row r="20" spans="1:6" ht="38.25">
      <c r="A20" s="577">
        <v>16</v>
      </c>
      <c r="B20" s="578" t="s">
        <v>3989</v>
      </c>
      <c r="C20" s="578" t="s">
        <v>3990</v>
      </c>
      <c r="D20" s="578" t="s">
        <v>3991</v>
      </c>
      <c r="E20" s="281">
        <v>20</v>
      </c>
      <c r="F20" s="579" t="s">
        <v>1000</v>
      </c>
    </row>
    <row r="21" spans="1:6" ht="38.25">
      <c r="A21" s="574">
        <v>17</v>
      </c>
      <c r="B21" s="575" t="s">
        <v>3992</v>
      </c>
      <c r="C21" s="575" t="s">
        <v>3993</v>
      </c>
      <c r="D21" s="575" t="s">
        <v>3994</v>
      </c>
      <c r="E21" s="275">
        <v>15</v>
      </c>
      <c r="F21" s="576" t="s">
        <v>974</v>
      </c>
    </row>
    <row r="22" spans="1:6" ht="38.25">
      <c r="A22" s="577">
        <v>18</v>
      </c>
      <c r="B22" s="578" t="s">
        <v>3995</v>
      </c>
      <c r="C22" s="578" t="s">
        <v>3996</v>
      </c>
      <c r="D22" s="578" t="s">
        <v>3994</v>
      </c>
      <c r="E22" s="281">
        <v>15</v>
      </c>
      <c r="F22" s="579" t="s">
        <v>979</v>
      </c>
    </row>
    <row r="23" spans="1:6" ht="38.25">
      <c r="A23" s="574">
        <v>19</v>
      </c>
      <c r="B23" s="575" t="s">
        <v>3997</v>
      </c>
      <c r="C23" s="575" t="s">
        <v>3998</v>
      </c>
      <c r="D23" s="575" t="s">
        <v>3999</v>
      </c>
      <c r="E23" s="275">
        <v>20</v>
      </c>
      <c r="F23" s="576" t="s">
        <v>989</v>
      </c>
    </row>
    <row r="24" spans="1:6" ht="51">
      <c r="A24" s="577">
        <v>20</v>
      </c>
      <c r="B24" s="578" t="s">
        <v>4000</v>
      </c>
      <c r="C24" s="578" t="s">
        <v>4001</v>
      </c>
      <c r="D24" s="578" t="s">
        <v>4002</v>
      </c>
      <c r="E24" s="281">
        <v>15</v>
      </c>
      <c r="F24" s="579" t="s">
        <v>994</v>
      </c>
    </row>
    <row r="25" spans="1:6" ht="38.25">
      <c r="A25" s="574">
        <v>21</v>
      </c>
      <c r="B25" s="575" t="s">
        <v>4003</v>
      </c>
      <c r="C25" s="575" t="s">
        <v>4004</v>
      </c>
      <c r="D25" s="575" t="s">
        <v>4005</v>
      </c>
      <c r="E25" s="275">
        <v>15</v>
      </c>
      <c r="F25" s="576" t="s">
        <v>1007</v>
      </c>
    </row>
    <row r="26" spans="1:6" ht="38.25">
      <c r="A26" s="577">
        <v>22</v>
      </c>
      <c r="B26" s="578" t="s">
        <v>4006</v>
      </c>
      <c r="C26" s="578" t="s">
        <v>4007</v>
      </c>
      <c r="D26" s="578" t="s">
        <v>4008</v>
      </c>
      <c r="E26" s="281">
        <v>15</v>
      </c>
      <c r="F26" s="579" t="s">
        <v>4009</v>
      </c>
    </row>
    <row r="27" spans="1:6" ht="38.25">
      <c r="A27" s="574">
        <v>23</v>
      </c>
      <c r="B27" s="575" t="s">
        <v>4010</v>
      </c>
      <c r="C27" s="575" t="s">
        <v>4011</v>
      </c>
      <c r="D27" s="575" t="s">
        <v>4012</v>
      </c>
      <c r="E27" s="275">
        <v>20</v>
      </c>
      <c r="F27" s="576" t="s">
        <v>985</v>
      </c>
    </row>
    <row r="28" spans="1:6" ht="38.25">
      <c r="A28" s="580">
        <v>24</v>
      </c>
      <c r="B28" s="581" t="s">
        <v>4013</v>
      </c>
      <c r="C28" s="581" t="s">
        <v>4014</v>
      </c>
      <c r="D28" s="581" t="s">
        <v>4015</v>
      </c>
      <c r="E28" s="331">
        <v>15</v>
      </c>
      <c r="F28" s="582" t="s">
        <v>1012</v>
      </c>
    </row>
  </sheetData>
  <mergeCells count="2">
    <mergeCell ref="A1:F1"/>
    <mergeCell ref="A2:F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639B-152F-4992-9606-F014907D60B5}">
  <sheetPr>
    <tabColor rgb="FF2F5597"/>
  </sheetPr>
  <dimension ref="A1:AE24"/>
  <sheetViews>
    <sheetView workbookViewId="0">
      <selection sqref="A1:AE1"/>
    </sheetView>
  </sheetViews>
  <sheetFormatPr defaultRowHeight="15"/>
  <cols>
    <col min="1" max="1" width="5.28515625" customWidth="1"/>
    <col min="2" max="2" width="13.28515625" customWidth="1"/>
    <col min="3" max="3" width="6.85546875" customWidth="1"/>
    <col min="4" max="4" width="19" customWidth="1"/>
    <col min="5" max="5" width="15.28515625" customWidth="1"/>
    <col min="6" max="6" width="7.5703125" customWidth="1"/>
    <col min="7" max="7" width="9.5703125" customWidth="1"/>
    <col min="8" max="8" width="5.7109375" customWidth="1"/>
    <col min="9" max="10" width="5.28515625" customWidth="1"/>
    <col min="11" max="12" width="7.5703125" customWidth="1"/>
    <col min="13" max="13" width="6.85546875" customWidth="1"/>
    <col min="14" max="14" width="7.28515625" customWidth="1"/>
    <col min="15" max="15" width="5.28515625" customWidth="1"/>
    <col min="16" max="17" width="6.42578125" customWidth="1"/>
    <col min="18" max="18" width="7.28515625" customWidth="1"/>
    <col min="19" max="19" width="6.85546875" customWidth="1"/>
    <col min="20" max="21" width="8.7109375" customWidth="1"/>
    <col min="22" max="23" width="6.42578125" customWidth="1"/>
    <col min="24" max="24" width="7.5703125" customWidth="1"/>
    <col min="25" max="25" width="8.42578125" customWidth="1"/>
    <col min="26" max="26" width="8.7109375" customWidth="1"/>
    <col min="27" max="29" width="5.28515625" customWidth="1"/>
    <col min="30" max="30" width="15.28515625" customWidth="1"/>
    <col min="31" max="31" width="6.42578125" customWidth="1"/>
  </cols>
  <sheetData>
    <row r="1" spans="1:31" ht="32.1" customHeight="1">
      <c r="A1" s="583" t="s">
        <v>4016</v>
      </c>
      <c r="B1" s="583"/>
      <c r="C1" s="583"/>
      <c r="D1" s="583"/>
      <c r="E1" s="583"/>
      <c r="F1" s="583"/>
      <c r="G1" s="583"/>
      <c r="H1" s="583"/>
      <c r="I1" s="583"/>
      <c r="J1" s="583"/>
      <c r="K1" s="583"/>
      <c r="L1" s="583"/>
      <c r="M1" s="583"/>
      <c r="N1" s="583"/>
      <c r="O1" s="583"/>
      <c r="P1" s="583"/>
      <c r="Q1" s="583"/>
      <c r="R1" s="583"/>
      <c r="S1" s="583"/>
      <c r="T1" s="583"/>
      <c r="U1" s="583"/>
      <c r="V1" s="583"/>
      <c r="W1" s="583"/>
      <c r="X1" s="583"/>
      <c r="Y1" s="583"/>
      <c r="Z1" s="583"/>
      <c r="AA1" s="583"/>
      <c r="AB1" s="583"/>
      <c r="AC1" s="583"/>
      <c r="AD1" s="583"/>
      <c r="AE1" s="583"/>
    </row>
    <row r="2" spans="1:31" ht="21.95" customHeight="1">
      <c r="A2" s="584" t="s">
        <v>4017</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584"/>
      <c r="AD2" s="584"/>
      <c r="AE2" s="584"/>
    </row>
    <row r="3" spans="1:31" ht="30" customHeight="1">
      <c r="A3" s="430" t="s">
        <v>330</v>
      </c>
      <c r="B3" s="431" t="s">
        <v>1016</v>
      </c>
      <c r="C3" s="431" t="s">
        <v>1017</v>
      </c>
      <c r="D3" s="431" t="s">
        <v>410</v>
      </c>
      <c r="E3" s="431" t="s">
        <v>1018</v>
      </c>
      <c r="F3" s="431" t="s">
        <v>1019</v>
      </c>
      <c r="G3" s="431" t="s">
        <v>1020</v>
      </c>
      <c r="H3" s="431" t="s">
        <v>1021</v>
      </c>
      <c r="I3" s="431" t="s">
        <v>360</v>
      </c>
      <c r="J3" s="431" t="s">
        <v>1022</v>
      </c>
      <c r="K3" s="431" t="s">
        <v>1023</v>
      </c>
      <c r="L3" s="431" t="s">
        <v>1024</v>
      </c>
      <c r="M3" s="431" t="s">
        <v>1025</v>
      </c>
      <c r="N3" s="431" t="s">
        <v>1026</v>
      </c>
      <c r="O3" s="431" t="s">
        <v>1027</v>
      </c>
      <c r="P3" s="431" t="s">
        <v>1028</v>
      </c>
      <c r="Q3" s="431" t="s">
        <v>1029</v>
      </c>
      <c r="R3" s="431" t="s">
        <v>333</v>
      </c>
      <c r="S3" s="431" t="s">
        <v>1030</v>
      </c>
      <c r="T3" s="431" t="s">
        <v>1031</v>
      </c>
      <c r="U3" s="431" t="s">
        <v>1032</v>
      </c>
      <c r="V3" s="431" t="s">
        <v>1033</v>
      </c>
      <c r="W3" s="431" t="s">
        <v>1034</v>
      </c>
      <c r="X3" s="431" t="s">
        <v>1035</v>
      </c>
      <c r="Y3" s="431" t="s">
        <v>1036</v>
      </c>
      <c r="Z3" s="431" t="s">
        <v>1037</v>
      </c>
      <c r="AA3" s="431" t="s">
        <v>1038</v>
      </c>
      <c r="AB3" s="431" t="s">
        <v>1039</v>
      </c>
      <c r="AC3" s="431" t="s">
        <v>1040</v>
      </c>
      <c r="AD3" s="431" t="s">
        <v>78</v>
      </c>
      <c r="AE3" s="586" t="s">
        <v>1041</v>
      </c>
    </row>
    <row r="4" spans="1:31" ht="44.1" customHeight="1">
      <c r="A4" s="587" t="s">
        <v>4018</v>
      </c>
      <c r="B4" s="588" t="s">
        <v>4019</v>
      </c>
      <c r="C4" s="588" t="s">
        <v>4020</v>
      </c>
      <c r="D4" s="588" t="s">
        <v>4021</v>
      </c>
      <c r="E4" s="588" t="s">
        <v>4022</v>
      </c>
      <c r="F4" s="588" t="s">
        <v>4023</v>
      </c>
      <c r="G4" s="588" t="s">
        <v>4024</v>
      </c>
      <c r="H4" s="588" t="s">
        <v>4025</v>
      </c>
      <c r="I4" s="588" t="s">
        <v>4026</v>
      </c>
      <c r="J4" s="588" t="s">
        <v>4027</v>
      </c>
      <c r="K4" s="588" t="s">
        <v>4028</v>
      </c>
      <c r="L4" s="588" t="s">
        <v>4029</v>
      </c>
      <c r="M4" s="588" t="s">
        <v>4030</v>
      </c>
      <c r="N4" s="588" t="s">
        <v>4031</v>
      </c>
      <c r="O4" s="588" t="s">
        <v>4032</v>
      </c>
      <c r="P4" s="588" t="s">
        <v>4033</v>
      </c>
      <c r="Q4" s="588" t="s">
        <v>4034</v>
      </c>
      <c r="R4" s="588" t="s">
        <v>4035</v>
      </c>
      <c r="S4" s="588" t="s">
        <v>4036</v>
      </c>
      <c r="T4" s="588" t="s">
        <v>4037</v>
      </c>
      <c r="U4" s="588" t="s">
        <v>4038</v>
      </c>
      <c r="V4" s="588" t="s">
        <v>4039</v>
      </c>
      <c r="W4" s="588" t="s">
        <v>4040</v>
      </c>
      <c r="X4" s="588" t="s">
        <v>4041</v>
      </c>
      <c r="Y4" s="588" t="s">
        <v>4042</v>
      </c>
      <c r="Z4" s="588" t="s">
        <v>4043</v>
      </c>
      <c r="AA4" s="588" t="s">
        <v>4044</v>
      </c>
      <c r="AB4" s="588" t="s">
        <v>4045</v>
      </c>
      <c r="AC4" s="588" t="s">
        <v>4046</v>
      </c>
      <c r="AD4" s="588" t="s">
        <v>4047</v>
      </c>
      <c r="AE4" s="589" t="s">
        <v>4048</v>
      </c>
    </row>
    <row r="5" spans="1:31" ht="21.95" customHeight="1">
      <c r="A5" s="590"/>
      <c r="B5" s="591"/>
      <c r="C5" s="591"/>
      <c r="D5" s="591"/>
      <c r="E5" s="591"/>
      <c r="F5" s="591"/>
      <c r="G5" s="591"/>
      <c r="H5" s="591"/>
      <c r="I5" s="591"/>
      <c r="J5" s="591"/>
      <c r="K5" s="591"/>
      <c r="L5" s="591"/>
      <c r="M5" s="591"/>
      <c r="N5" s="591"/>
      <c r="O5" s="591"/>
      <c r="P5" s="591"/>
      <c r="Q5" s="591"/>
      <c r="R5" s="591"/>
      <c r="S5" s="591"/>
      <c r="T5" s="591"/>
      <c r="U5" s="591"/>
      <c r="V5" s="591"/>
      <c r="W5" s="591"/>
      <c r="X5" s="591"/>
      <c r="Y5" s="591"/>
      <c r="Z5" s="591"/>
      <c r="AA5" s="591"/>
      <c r="AB5" s="591"/>
      <c r="AC5" s="591"/>
      <c r="AD5" s="591"/>
      <c r="AE5" s="592"/>
    </row>
    <row r="6" spans="1:31" ht="21.95" customHeight="1">
      <c r="A6" s="590"/>
      <c r="B6" s="591"/>
      <c r="C6" s="591"/>
      <c r="D6" s="591"/>
      <c r="E6" s="591"/>
      <c r="F6" s="591"/>
      <c r="G6" s="591"/>
      <c r="H6" s="591"/>
      <c r="I6" s="591"/>
      <c r="J6" s="591"/>
      <c r="K6" s="591"/>
      <c r="L6" s="591"/>
      <c r="M6" s="591"/>
      <c r="N6" s="591"/>
      <c r="O6" s="591"/>
      <c r="P6" s="591"/>
      <c r="Q6" s="591"/>
      <c r="R6" s="591"/>
      <c r="S6" s="591"/>
      <c r="T6" s="591"/>
      <c r="U6" s="591"/>
      <c r="V6" s="591"/>
      <c r="W6" s="591"/>
      <c r="X6" s="591"/>
      <c r="Y6" s="591"/>
      <c r="Z6" s="591"/>
      <c r="AA6" s="591"/>
      <c r="AB6" s="591"/>
      <c r="AC6" s="591"/>
      <c r="AD6" s="591"/>
      <c r="AE6" s="592"/>
    </row>
    <row r="7" spans="1:31" ht="21.95" customHeight="1">
      <c r="A7" s="590"/>
      <c r="B7" s="591"/>
      <c r="C7" s="591"/>
      <c r="D7" s="591"/>
      <c r="E7" s="591"/>
      <c r="F7" s="591"/>
      <c r="G7" s="591"/>
      <c r="H7" s="591"/>
      <c r="I7" s="591"/>
      <c r="J7" s="591"/>
      <c r="K7" s="591"/>
      <c r="L7" s="591"/>
      <c r="M7" s="591"/>
      <c r="N7" s="591"/>
      <c r="O7" s="591"/>
      <c r="P7" s="591"/>
      <c r="Q7" s="591"/>
      <c r="R7" s="591"/>
      <c r="S7" s="591"/>
      <c r="T7" s="591"/>
      <c r="U7" s="591"/>
      <c r="V7" s="591"/>
      <c r="W7" s="591"/>
      <c r="X7" s="591"/>
      <c r="Y7" s="591"/>
      <c r="Z7" s="591"/>
      <c r="AA7" s="591"/>
      <c r="AB7" s="591"/>
      <c r="AC7" s="591"/>
      <c r="AD7" s="591"/>
      <c r="AE7" s="592"/>
    </row>
    <row r="8" spans="1:31" ht="21.95" customHeight="1">
      <c r="A8" s="590"/>
      <c r="B8" s="591"/>
      <c r="C8" s="591"/>
      <c r="D8" s="591"/>
      <c r="E8" s="591"/>
      <c r="F8" s="591"/>
      <c r="G8" s="591"/>
      <c r="H8" s="591"/>
      <c r="I8" s="591"/>
      <c r="J8" s="591"/>
      <c r="K8" s="591"/>
      <c r="L8" s="591"/>
      <c r="M8" s="591"/>
      <c r="N8" s="591"/>
      <c r="O8" s="591"/>
      <c r="P8" s="591"/>
      <c r="Q8" s="591"/>
      <c r="R8" s="591"/>
      <c r="S8" s="591"/>
      <c r="T8" s="591"/>
      <c r="U8" s="591"/>
      <c r="V8" s="591"/>
      <c r="W8" s="591"/>
      <c r="X8" s="591"/>
      <c r="Y8" s="591"/>
      <c r="Z8" s="591"/>
      <c r="AA8" s="591"/>
      <c r="AB8" s="591"/>
      <c r="AC8" s="591"/>
      <c r="AD8" s="591"/>
      <c r="AE8" s="592"/>
    </row>
    <row r="9" spans="1:31" ht="21.95" customHeight="1">
      <c r="A9" s="590"/>
      <c r="B9" s="591"/>
      <c r="C9" s="591"/>
      <c r="D9" s="591"/>
      <c r="E9" s="591"/>
      <c r="F9" s="591"/>
      <c r="G9" s="591"/>
      <c r="H9" s="591"/>
      <c r="I9" s="591"/>
      <c r="J9" s="591"/>
      <c r="K9" s="591"/>
      <c r="L9" s="591"/>
      <c r="M9" s="591"/>
      <c r="N9" s="591"/>
      <c r="O9" s="591"/>
      <c r="P9" s="591"/>
      <c r="Q9" s="591"/>
      <c r="R9" s="591"/>
      <c r="S9" s="591"/>
      <c r="T9" s="591"/>
      <c r="U9" s="591"/>
      <c r="V9" s="591"/>
      <c r="W9" s="591"/>
      <c r="X9" s="591"/>
      <c r="Y9" s="591"/>
      <c r="Z9" s="591"/>
      <c r="AA9" s="591"/>
      <c r="AB9" s="591"/>
      <c r="AC9" s="591"/>
      <c r="AD9" s="591"/>
      <c r="AE9" s="592"/>
    </row>
    <row r="10" spans="1:31" ht="21.95" customHeight="1">
      <c r="A10" s="590"/>
      <c r="B10" s="591"/>
      <c r="C10" s="591"/>
      <c r="D10" s="591"/>
      <c r="E10" s="591"/>
      <c r="F10" s="591"/>
      <c r="G10" s="591"/>
      <c r="H10" s="591"/>
      <c r="I10" s="591"/>
      <c r="J10" s="591"/>
      <c r="K10" s="591"/>
      <c r="L10" s="591"/>
      <c r="M10" s="591"/>
      <c r="N10" s="591"/>
      <c r="O10" s="591"/>
      <c r="P10" s="591"/>
      <c r="Q10" s="591"/>
      <c r="R10" s="591"/>
      <c r="S10" s="591"/>
      <c r="T10" s="591"/>
      <c r="U10" s="591"/>
      <c r="V10" s="591"/>
      <c r="W10" s="591"/>
      <c r="X10" s="591"/>
      <c r="Y10" s="591"/>
      <c r="Z10" s="591"/>
      <c r="AA10" s="591"/>
      <c r="AB10" s="591"/>
      <c r="AC10" s="591"/>
      <c r="AD10" s="591"/>
      <c r="AE10" s="592"/>
    </row>
    <row r="11" spans="1:31" ht="21.95" customHeight="1">
      <c r="A11" s="590"/>
      <c r="B11" s="591"/>
      <c r="C11" s="591"/>
      <c r="D11" s="591"/>
      <c r="E11" s="591"/>
      <c r="F11" s="591"/>
      <c r="G11" s="591"/>
      <c r="H11" s="591"/>
      <c r="I11" s="591"/>
      <c r="J11" s="591"/>
      <c r="K11" s="591"/>
      <c r="L11" s="591"/>
      <c r="M11" s="591"/>
      <c r="N11" s="591"/>
      <c r="O11" s="591"/>
      <c r="P11" s="591"/>
      <c r="Q11" s="591"/>
      <c r="R11" s="591"/>
      <c r="S11" s="591"/>
      <c r="T11" s="591"/>
      <c r="U11" s="591"/>
      <c r="V11" s="591"/>
      <c r="W11" s="591"/>
      <c r="X11" s="591"/>
      <c r="Y11" s="591"/>
      <c r="Z11" s="591"/>
      <c r="AA11" s="591"/>
      <c r="AB11" s="591"/>
      <c r="AC11" s="591"/>
      <c r="AD11" s="591"/>
      <c r="AE11" s="592"/>
    </row>
    <row r="12" spans="1:31" ht="21.95" customHeight="1">
      <c r="A12" s="590"/>
      <c r="B12" s="591"/>
      <c r="C12" s="591"/>
      <c r="D12" s="591"/>
      <c r="E12" s="591"/>
      <c r="F12" s="591"/>
      <c r="G12" s="591"/>
      <c r="H12" s="591"/>
      <c r="I12" s="591"/>
      <c r="J12" s="591"/>
      <c r="K12" s="591"/>
      <c r="L12" s="591"/>
      <c r="M12" s="591"/>
      <c r="N12" s="591"/>
      <c r="O12" s="591"/>
      <c r="P12" s="591"/>
      <c r="Q12" s="591"/>
      <c r="R12" s="591"/>
      <c r="S12" s="591"/>
      <c r="T12" s="591"/>
      <c r="U12" s="591"/>
      <c r="V12" s="591"/>
      <c r="W12" s="591"/>
      <c r="X12" s="591"/>
      <c r="Y12" s="591"/>
      <c r="Z12" s="591"/>
      <c r="AA12" s="591"/>
      <c r="AB12" s="591"/>
      <c r="AC12" s="591"/>
      <c r="AD12" s="591"/>
      <c r="AE12" s="592"/>
    </row>
    <row r="13" spans="1:31" ht="21.95" customHeight="1">
      <c r="A13" s="590"/>
      <c r="B13" s="591"/>
      <c r="C13" s="591"/>
      <c r="D13" s="591"/>
      <c r="E13" s="591"/>
      <c r="F13" s="591"/>
      <c r="G13" s="591"/>
      <c r="H13" s="591"/>
      <c r="I13" s="591"/>
      <c r="J13" s="591"/>
      <c r="K13" s="591"/>
      <c r="L13" s="591"/>
      <c r="M13" s="591"/>
      <c r="N13" s="591"/>
      <c r="O13" s="591"/>
      <c r="P13" s="591"/>
      <c r="Q13" s="591"/>
      <c r="R13" s="591"/>
      <c r="S13" s="591"/>
      <c r="T13" s="591"/>
      <c r="U13" s="591"/>
      <c r="V13" s="591"/>
      <c r="W13" s="591"/>
      <c r="X13" s="591"/>
      <c r="Y13" s="591"/>
      <c r="Z13" s="591"/>
      <c r="AA13" s="591"/>
      <c r="AB13" s="591"/>
      <c r="AC13" s="591"/>
      <c r="AD13" s="591"/>
      <c r="AE13" s="592"/>
    </row>
    <row r="14" spans="1:31" ht="21.95" customHeight="1">
      <c r="A14" s="590"/>
      <c r="B14" s="591"/>
      <c r="C14" s="591"/>
      <c r="D14" s="591"/>
      <c r="E14" s="591"/>
      <c r="F14" s="591"/>
      <c r="G14" s="591"/>
      <c r="H14" s="591"/>
      <c r="I14" s="591"/>
      <c r="J14" s="591"/>
      <c r="K14" s="591"/>
      <c r="L14" s="591"/>
      <c r="M14" s="591"/>
      <c r="N14" s="591"/>
      <c r="O14" s="591"/>
      <c r="P14" s="591"/>
      <c r="Q14" s="591"/>
      <c r="R14" s="591"/>
      <c r="S14" s="591"/>
      <c r="T14" s="591"/>
      <c r="U14" s="591"/>
      <c r="V14" s="591"/>
      <c r="W14" s="591"/>
      <c r="X14" s="591"/>
      <c r="Y14" s="591"/>
      <c r="Z14" s="591"/>
      <c r="AA14" s="591"/>
      <c r="AB14" s="591"/>
      <c r="AC14" s="591"/>
      <c r="AD14" s="591"/>
      <c r="AE14" s="592"/>
    </row>
    <row r="15" spans="1:31" ht="21.95" customHeight="1">
      <c r="A15" s="590"/>
      <c r="B15" s="591"/>
      <c r="C15" s="591"/>
      <c r="D15" s="591"/>
      <c r="E15" s="591"/>
      <c r="F15" s="591"/>
      <c r="G15" s="591"/>
      <c r="H15" s="591"/>
      <c r="I15" s="591"/>
      <c r="J15" s="591"/>
      <c r="K15" s="591"/>
      <c r="L15" s="591"/>
      <c r="M15" s="591"/>
      <c r="N15" s="591"/>
      <c r="O15" s="591"/>
      <c r="P15" s="591"/>
      <c r="Q15" s="591"/>
      <c r="R15" s="591"/>
      <c r="S15" s="591"/>
      <c r="T15" s="591"/>
      <c r="U15" s="591"/>
      <c r="V15" s="591"/>
      <c r="W15" s="591"/>
      <c r="X15" s="591"/>
      <c r="Y15" s="591"/>
      <c r="Z15" s="591"/>
      <c r="AA15" s="591"/>
      <c r="AB15" s="591"/>
      <c r="AC15" s="591"/>
      <c r="AD15" s="591"/>
      <c r="AE15" s="592"/>
    </row>
    <row r="16" spans="1:31" ht="21.95" customHeight="1">
      <c r="A16" s="590"/>
      <c r="B16" s="591"/>
      <c r="C16" s="591"/>
      <c r="D16" s="591"/>
      <c r="E16" s="591"/>
      <c r="F16" s="591"/>
      <c r="G16" s="591"/>
      <c r="H16" s="591"/>
      <c r="I16" s="591"/>
      <c r="J16" s="591"/>
      <c r="K16" s="591"/>
      <c r="L16" s="591"/>
      <c r="M16" s="591"/>
      <c r="N16" s="591"/>
      <c r="O16" s="591"/>
      <c r="P16" s="591"/>
      <c r="Q16" s="591"/>
      <c r="R16" s="591"/>
      <c r="S16" s="591"/>
      <c r="T16" s="591"/>
      <c r="U16" s="591"/>
      <c r="V16" s="591"/>
      <c r="W16" s="591"/>
      <c r="X16" s="591"/>
      <c r="Y16" s="591"/>
      <c r="Z16" s="591"/>
      <c r="AA16" s="591"/>
      <c r="AB16" s="591"/>
      <c r="AC16" s="591"/>
      <c r="AD16" s="591"/>
      <c r="AE16" s="592"/>
    </row>
    <row r="17" spans="1:31" ht="21.95" customHeight="1">
      <c r="A17" s="590"/>
      <c r="B17" s="591"/>
      <c r="C17" s="591"/>
      <c r="D17" s="591"/>
      <c r="E17" s="591"/>
      <c r="F17" s="591"/>
      <c r="G17" s="591"/>
      <c r="H17" s="591"/>
      <c r="I17" s="591"/>
      <c r="J17" s="591"/>
      <c r="K17" s="591"/>
      <c r="L17" s="591"/>
      <c r="M17" s="591"/>
      <c r="N17" s="591"/>
      <c r="O17" s="591"/>
      <c r="P17" s="591"/>
      <c r="Q17" s="591"/>
      <c r="R17" s="591"/>
      <c r="S17" s="591"/>
      <c r="T17" s="591"/>
      <c r="U17" s="591"/>
      <c r="V17" s="591"/>
      <c r="W17" s="591"/>
      <c r="X17" s="591"/>
      <c r="Y17" s="591"/>
      <c r="Z17" s="591"/>
      <c r="AA17" s="591"/>
      <c r="AB17" s="591"/>
      <c r="AC17" s="591"/>
      <c r="AD17" s="591"/>
      <c r="AE17" s="592"/>
    </row>
    <row r="18" spans="1:31" ht="21.95" customHeight="1">
      <c r="A18" s="590"/>
      <c r="B18" s="591"/>
      <c r="C18" s="591"/>
      <c r="D18" s="591"/>
      <c r="E18" s="591"/>
      <c r="F18" s="591"/>
      <c r="G18" s="591"/>
      <c r="H18" s="591"/>
      <c r="I18" s="591"/>
      <c r="J18" s="591"/>
      <c r="K18" s="591"/>
      <c r="L18" s="591"/>
      <c r="M18" s="591"/>
      <c r="N18" s="591"/>
      <c r="O18" s="591"/>
      <c r="P18" s="591"/>
      <c r="Q18" s="591"/>
      <c r="R18" s="591"/>
      <c r="S18" s="591"/>
      <c r="T18" s="591"/>
      <c r="U18" s="591"/>
      <c r="V18" s="591"/>
      <c r="W18" s="591"/>
      <c r="X18" s="591"/>
      <c r="Y18" s="591"/>
      <c r="Z18" s="591"/>
      <c r="AA18" s="591"/>
      <c r="AB18" s="591"/>
      <c r="AC18" s="591"/>
      <c r="AD18" s="591"/>
      <c r="AE18" s="592"/>
    </row>
    <row r="19" spans="1:31" ht="21.95" customHeight="1">
      <c r="A19" s="590"/>
      <c r="B19" s="591"/>
      <c r="C19" s="591"/>
      <c r="D19" s="591"/>
      <c r="E19" s="591"/>
      <c r="F19" s="591"/>
      <c r="G19" s="591"/>
      <c r="H19" s="591"/>
      <c r="I19" s="591"/>
      <c r="J19" s="591"/>
      <c r="K19" s="591"/>
      <c r="L19" s="591"/>
      <c r="M19" s="591"/>
      <c r="N19" s="591"/>
      <c r="O19" s="591"/>
      <c r="P19" s="591"/>
      <c r="Q19" s="591"/>
      <c r="R19" s="591"/>
      <c r="S19" s="591"/>
      <c r="T19" s="591"/>
      <c r="U19" s="591"/>
      <c r="V19" s="591"/>
      <c r="W19" s="591"/>
      <c r="X19" s="591"/>
      <c r="Y19" s="591"/>
      <c r="Z19" s="591"/>
      <c r="AA19" s="591"/>
      <c r="AB19" s="591"/>
      <c r="AC19" s="591"/>
      <c r="AD19" s="591"/>
      <c r="AE19" s="592"/>
    </row>
    <row r="20" spans="1:31" ht="21.95" customHeight="1">
      <c r="A20" s="590"/>
      <c r="B20" s="591"/>
      <c r="C20" s="591"/>
      <c r="D20" s="591"/>
      <c r="E20" s="591"/>
      <c r="F20" s="591"/>
      <c r="G20" s="591"/>
      <c r="H20" s="591"/>
      <c r="I20" s="591"/>
      <c r="J20" s="591"/>
      <c r="K20" s="591"/>
      <c r="L20" s="591"/>
      <c r="M20" s="591"/>
      <c r="N20" s="591"/>
      <c r="O20" s="591"/>
      <c r="P20" s="591"/>
      <c r="Q20" s="591"/>
      <c r="R20" s="591"/>
      <c r="S20" s="591"/>
      <c r="T20" s="591"/>
      <c r="U20" s="591"/>
      <c r="V20" s="591"/>
      <c r="W20" s="591"/>
      <c r="X20" s="591"/>
      <c r="Y20" s="591"/>
      <c r="Z20" s="591"/>
      <c r="AA20" s="591"/>
      <c r="AB20" s="591"/>
      <c r="AC20" s="591"/>
      <c r="AD20" s="591"/>
      <c r="AE20" s="592"/>
    </row>
    <row r="21" spans="1:31" ht="21.95" customHeight="1">
      <c r="A21" s="590"/>
      <c r="B21" s="591"/>
      <c r="C21" s="591"/>
      <c r="D21" s="591"/>
      <c r="E21" s="591"/>
      <c r="F21" s="591"/>
      <c r="G21" s="591"/>
      <c r="H21" s="591"/>
      <c r="I21" s="591"/>
      <c r="J21" s="591"/>
      <c r="K21" s="591"/>
      <c r="L21" s="591"/>
      <c r="M21" s="591"/>
      <c r="N21" s="591"/>
      <c r="O21" s="591"/>
      <c r="P21" s="591"/>
      <c r="Q21" s="591"/>
      <c r="R21" s="591"/>
      <c r="S21" s="591"/>
      <c r="T21" s="591"/>
      <c r="U21" s="591"/>
      <c r="V21" s="591"/>
      <c r="W21" s="591"/>
      <c r="X21" s="591"/>
      <c r="Y21" s="591"/>
      <c r="Z21" s="591"/>
      <c r="AA21" s="591"/>
      <c r="AB21" s="591"/>
      <c r="AC21" s="591"/>
      <c r="AD21" s="591"/>
      <c r="AE21" s="592"/>
    </row>
    <row r="22" spans="1:31" ht="21.95" customHeight="1">
      <c r="A22" s="590"/>
      <c r="B22" s="591"/>
      <c r="C22" s="591"/>
      <c r="D22" s="591"/>
      <c r="E22" s="591"/>
      <c r="F22" s="591"/>
      <c r="G22" s="591"/>
      <c r="H22" s="591"/>
      <c r="I22" s="591"/>
      <c r="J22" s="591"/>
      <c r="K22" s="591"/>
      <c r="L22" s="591"/>
      <c r="M22" s="591"/>
      <c r="N22" s="591"/>
      <c r="O22" s="591"/>
      <c r="P22" s="591"/>
      <c r="Q22" s="591"/>
      <c r="R22" s="591"/>
      <c r="S22" s="591"/>
      <c r="T22" s="591"/>
      <c r="U22" s="591"/>
      <c r="V22" s="591"/>
      <c r="W22" s="591"/>
      <c r="X22" s="591"/>
      <c r="Y22" s="591"/>
      <c r="Z22" s="591"/>
      <c r="AA22" s="591"/>
      <c r="AB22" s="591"/>
      <c r="AC22" s="591"/>
      <c r="AD22" s="591"/>
      <c r="AE22" s="592"/>
    </row>
    <row r="23" spans="1:31" ht="21.95" customHeight="1">
      <c r="A23" s="590"/>
      <c r="B23" s="591"/>
      <c r="C23" s="591"/>
      <c r="D23" s="591"/>
      <c r="E23" s="591"/>
      <c r="F23" s="591"/>
      <c r="G23" s="591"/>
      <c r="H23" s="591"/>
      <c r="I23" s="591"/>
      <c r="J23" s="591"/>
      <c r="K23" s="591"/>
      <c r="L23" s="591"/>
      <c r="M23" s="591"/>
      <c r="N23" s="591"/>
      <c r="O23" s="591"/>
      <c r="P23" s="591"/>
      <c r="Q23" s="591"/>
      <c r="R23" s="591"/>
      <c r="S23" s="591"/>
      <c r="T23" s="591"/>
      <c r="U23" s="591"/>
      <c r="V23" s="591"/>
      <c r="W23" s="591"/>
      <c r="X23" s="591"/>
      <c r="Y23" s="591"/>
      <c r="Z23" s="591"/>
      <c r="AA23" s="591"/>
      <c r="AB23" s="591"/>
      <c r="AC23" s="591"/>
      <c r="AD23" s="591"/>
      <c r="AE23" s="592"/>
    </row>
    <row r="24" spans="1:31" ht="21.95" customHeight="1">
      <c r="A24" s="593"/>
      <c r="B24" s="594"/>
      <c r="C24" s="594"/>
      <c r="D24" s="594"/>
      <c r="E24" s="594"/>
      <c r="F24" s="594"/>
      <c r="G24" s="594"/>
      <c r="H24" s="594"/>
      <c r="I24" s="594"/>
      <c r="J24" s="594"/>
      <c r="K24" s="594"/>
      <c r="L24" s="594"/>
      <c r="M24" s="594"/>
      <c r="N24" s="594"/>
      <c r="O24" s="594"/>
      <c r="P24" s="594"/>
      <c r="Q24" s="594"/>
      <c r="R24" s="594"/>
      <c r="S24" s="594"/>
      <c r="T24" s="594"/>
      <c r="U24" s="594"/>
      <c r="V24" s="594"/>
      <c r="W24" s="594"/>
      <c r="X24" s="594"/>
      <c r="Y24" s="594"/>
      <c r="Z24" s="594"/>
      <c r="AA24" s="594"/>
      <c r="AB24" s="594"/>
      <c r="AC24" s="594"/>
      <c r="AD24" s="594"/>
      <c r="AE24" s="595"/>
    </row>
  </sheetData>
  <mergeCells count="2">
    <mergeCell ref="A1:AE1"/>
    <mergeCell ref="A2:AE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4C5A-04B0-44D8-8525-FB5BFC41ED3B}">
  <sheetPr>
    <tabColor rgb="FF2F5597"/>
  </sheetPr>
  <dimension ref="A1:O19"/>
  <sheetViews>
    <sheetView workbookViewId="0">
      <selection sqref="A1:O1"/>
    </sheetView>
  </sheetViews>
  <sheetFormatPr defaultRowHeight="15"/>
  <cols>
    <col min="1" max="1" width="5.28515625" customWidth="1"/>
    <col min="2" max="2" width="13.28515625" customWidth="1"/>
    <col min="3" max="3" width="9.5703125" customWidth="1"/>
    <col min="4" max="4" width="8.42578125" customWidth="1"/>
    <col min="5" max="6" width="7.5703125" customWidth="1"/>
    <col min="7" max="7" width="5.7109375" customWidth="1"/>
    <col min="8" max="8" width="19" customWidth="1"/>
    <col min="9" max="10" width="7.5703125" customWidth="1"/>
    <col min="11" max="11" width="5.7109375" customWidth="1"/>
    <col min="12" max="12" width="8" customWidth="1"/>
    <col min="13" max="13" width="5.7109375" customWidth="1"/>
    <col min="14" max="14" width="6.85546875" customWidth="1"/>
    <col min="15" max="15" width="7.5703125" customWidth="1"/>
  </cols>
  <sheetData>
    <row r="1" spans="1:15" ht="32.1" customHeight="1">
      <c r="A1" s="583" t="s">
        <v>4049</v>
      </c>
      <c r="B1" s="583"/>
      <c r="C1" s="583"/>
      <c r="D1" s="583"/>
      <c r="E1" s="583"/>
      <c r="F1" s="583"/>
      <c r="G1" s="583"/>
      <c r="H1" s="583"/>
      <c r="I1" s="583"/>
      <c r="J1" s="583"/>
      <c r="K1" s="583"/>
      <c r="L1" s="583"/>
      <c r="M1" s="583"/>
      <c r="N1" s="583"/>
      <c r="O1" s="583"/>
    </row>
    <row r="2" spans="1:15" ht="21.95" customHeight="1">
      <c r="A2" s="584" t="s">
        <v>4050</v>
      </c>
      <c r="B2" s="584"/>
      <c r="C2" s="584"/>
      <c r="D2" s="584"/>
      <c r="E2" s="584"/>
      <c r="F2" s="584"/>
      <c r="G2" s="584"/>
      <c r="H2" s="584"/>
      <c r="I2" s="584"/>
      <c r="J2" s="584"/>
      <c r="K2" s="584"/>
      <c r="L2" s="584"/>
      <c r="M2" s="584"/>
      <c r="N2" s="584"/>
      <c r="O2" s="584"/>
    </row>
    <row r="3" spans="1:15" ht="30" customHeight="1">
      <c r="A3" s="430" t="s">
        <v>254</v>
      </c>
      <c r="B3" s="431" t="s">
        <v>255</v>
      </c>
      <c r="C3" s="431" t="s">
        <v>1811</v>
      </c>
      <c r="D3" s="431" t="s">
        <v>1812</v>
      </c>
      <c r="E3" s="431" t="s">
        <v>1813</v>
      </c>
      <c r="F3" s="431" t="s">
        <v>1814</v>
      </c>
      <c r="G3" s="431" t="s">
        <v>1815</v>
      </c>
      <c r="H3" s="431" t="s">
        <v>1816</v>
      </c>
      <c r="I3" s="431" t="s">
        <v>1817</v>
      </c>
      <c r="J3" s="431" t="s">
        <v>1818</v>
      </c>
      <c r="K3" s="431" t="s">
        <v>256</v>
      </c>
      <c r="L3" s="431" t="s">
        <v>4051</v>
      </c>
      <c r="M3" s="431" t="s">
        <v>1820</v>
      </c>
      <c r="N3" s="431" t="s">
        <v>1821</v>
      </c>
      <c r="O3" s="586" t="s">
        <v>17</v>
      </c>
    </row>
    <row r="4" spans="1:15" ht="44.1" customHeight="1">
      <c r="A4" s="587" t="s">
        <v>4052</v>
      </c>
      <c r="B4" s="588" t="s">
        <v>4053</v>
      </c>
      <c r="C4" s="588" t="s">
        <v>4054</v>
      </c>
      <c r="D4" s="588" t="s">
        <v>4055</v>
      </c>
      <c r="E4" s="588" t="s">
        <v>4056</v>
      </c>
      <c r="F4" s="588" t="s">
        <v>4057</v>
      </c>
      <c r="G4" s="588" t="s">
        <v>4058</v>
      </c>
      <c r="H4" s="588" t="s">
        <v>4059</v>
      </c>
      <c r="I4" s="588" t="s">
        <v>4060</v>
      </c>
      <c r="J4" s="588" t="s">
        <v>4060</v>
      </c>
      <c r="K4" s="588" t="s">
        <v>4061</v>
      </c>
      <c r="L4" s="588" t="s">
        <v>4062</v>
      </c>
      <c r="M4" s="588" t="s">
        <v>4063</v>
      </c>
      <c r="N4" s="588" t="s">
        <v>4064</v>
      </c>
      <c r="O4" s="589" t="s">
        <v>4065</v>
      </c>
    </row>
    <row r="5" spans="1:15" ht="21.95" customHeight="1">
      <c r="A5" s="590"/>
      <c r="B5" s="591"/>
      <c r="C5" s="591"/>
      <c r="D5" s="591"/>
      <c r="E5" s="591"/>
      <c r="F5" s="591"/>
      <c r="G5" s="591"/>
      <c r="H5" s="591"/>
      <c r="I5" s="591"/>
      <c r="J5" s="591"/>
      <c r="K5" s="591"/>
      <c r="L5" s="591"/>
      <c r="M5" s="591"/>
      <c r="N5" s="591"/>
      <c r="O5" s="592"/>
    </row>
    <row r="6" spans="1:15" ht="21.95" customHeight="1">
      <c r="A6" s="590"/>
      <c r="B6" s="591"/>
      <c r="C6" s="591"/>
      <c r="D6" s="591"/>
      <c r="E6" s="591"/>
      <c r="F6" s="591"/>
      <c r="G6" s="591"/>
      <c r="H6" s="591"/>
      <c r="I6" s="591"/>
      <c r="J6" s="591"/>
      <c r="K6" s="591"/>
      <c r="L6" s="591"/>
      <c r="M6" s="591"/>
      <c r="N6" s="591"/>
      <c r="O6" s="592"/>
    </row>
    <row r="7" spans="1:15" ht="21.95" customHeight="1">
      <c r="A7" s="590"/>
      <c r="B7" s="591"/>
      <c r="C7" s="591"/>
      <c r="D7" s="591"/>
      <c r="E7" s="591"/>
      <c r="F7" s="591"/>
      <c r="G7" s="591"/>
      <c r="H7" s="591"/>
      <c r="I7" s="591"/>
      <c r="J7" s="591"/>
      <c r="K7" s="591"/>
      <c r="L7" s="591"/>
      <c r="M7" s="591"/>
      <c r="N7" s="591"/>
      <c r="O7" s="592"/>
    </row>
    <row r="8" spans="1:15" ht="21.95" customHeight="1">
      <c r="A8" s="590"/>
      <c r="B8" s="591"/>
      <c r="C8" s="591"/>
      <c r="D8" s="591"/>
      <c r="E8" s="591"/>
      <c r="F8" s="591"/>
      <c r="G8" s="591"/>
      <c r="H8" s="591"/>
      <c r="I8" s="591"/>
      <c r="J8" s="591"/>
      <c r="K8" s="591"/>
      <c r="L8" s="591"/>
      <c r="M8" s="591"/>
      <c r="N8" s="591"/>
      <c r="O8" s="592"/>
    </row>
    <row r="9" spans="1:15" ht="21.95" customHeight="1">
      <c r="A9" s="590"/>
      <c r="B9" s="591"/>
      <c r="C9" s="591"/>
      <c r="D9" s="591"/>
      <c r="E9" s="591"/>
      <c r="F9" s="591"/>
      <c r="G9" s="591"/>
      <c r="H9" s="591"/>
      <c r="I9" s="591"/>
      <c r="J9" s="591"/>
      <c r="K9" s="591"/>
      <c r="L9" s="591"/>
      <c r="M9" s="591"/>
      <c r="N9" s="591"/>
      <c r="O9" s="592"/>
    </row>
    <row r="10" spans="1:15" ht="21.95" customHeight="1">
      <c r="A10" s="590"/>
      <c r="B10" s="591"/>
      <c r="C10" s="591"/>
      <c r="D10" s="591"/>
      <c r="E10" s="591"/>
      <c r="F10" s="591"/>
      <c r="G10" s="591"/>
      <c r="H10" s="591"/>
      <c r="I10" s="591"/>
      <c r="J10" s="591"/>
      <c r="K10" s="591"/>
      <c r="L10" s="591"/>
      <c r="M10" s="591"/>
      <c r="N10" s="591"/>
      <c r="O10" s="592"/>
    </row>
    <row r="11" spans="1:15" ht="21.95" customHeight="1">
      <c r="A11" s="590"/>
      <c r="B11" s="591"/>
      <c r="C11" s="591"/>
      <c r="D11" s="591"/>
      <c r="E11" s="591"/>
      <c r="F11" s="591"/>
      <c r="G11" s="591"/>
      <c r="H11" s="591"/>
      <c r="I11" s="591"/>
      <c r="J11" s="591"/>
      <c r="K11" s="591"/>
      <c r="L11" s="591"/>
      <c r="M11" s="591"/>
      <c r="N11" s="591"/>
      <c r="O11" s="592"/>
    </row>
    <row r="12" spans="1:15" ht="21.95" customHeight="1">
      <c r="A12" s="590"/>
      <c r="B12" s="591"/>
      <c r="C12" s="591"/>
      <c r="D12" s="591"/>
      <c r="E12" s="591"/>
      <c r="F12" s="591"/>
      <c r="G12" s="591"/>
      <c r="H12" s="591"/>
      <c r="I12" s="591"/>
      <c r="J12" s="591"/>
      <c r="K12" s="591"/>
      <c r="L12" s="591"/>
      <c r="M12" s="591"/>
      <c r="N12" s="591"/>
      <c r="O12" s="592"/>
    </row>
    <row r="13" spans="1:15" ht="21.95" customHeight="1">
      <c r="A13" s="590"/>
      <c r="B13" s="591"/>
      <c r="C13" s="591"/>
      <c r="D13" s="591"/>
      <c r="E13" s="591"/>
      <c r="F13" s="591"/>
      <c r="G13" s="591"/>
      <c r="H13" s="591"/>
      <c r="I13" s="591"/>
      <c r="J13" s="591"/>
      <c r="K13" s="591"/>
      <c r="L13" s="591"/>
      <c r="M13" s="591"/>
      <c r="N13" s="591"/>
      <c r="O13" s="592"/>
    </row>
    <row r="14" spans="1:15" ht="21.95" customHeight="1">
      <c r="A14" s="590"/>
      <c r="B14" s="591"/>
      <c r="C14" s="591"/>
      <c r="D14" s="591"/>
      <c r="E14" s="591"/>
      <c r="F14" s="591"/>
      <c r="G14" s="591"/>
      <c r="H14" s="591"/>
      <c r="I14" s="591"/>
      <c r="J14" s="591"/>
      <c r="K14" s="591"/>
      <c r="L14" s="591"/>
      <c r="M14" s="591"/>
      <c r="N14" s="591"/>
      <c r="O14" s="592"/>
    </row>
    <row r="15" spans="1:15" ht="21.95" customHeight="1">
      <c r="A15" s="590"/>
      <c r="B15" s="591"/>
      <c r="C15" s="591"/>
      <c r="D15" s="591"/>
      <c r="E15" s="591"/>
      <c r="F15" s="591"/>
      <c r="G15" s="591"/>
      <c r="H15" s="591"/>
      <c r="I15" s="591"/>
      <c r="J15" s="591"/>
      <c r="K15" s="591"/>
      <c r="L15" s="591"/>
      <c r="M15" s="591"/>
      <c r="N15" s="591"/>
      <c r="O15" s="592"/>
    </row>
    <row r="16" spans="1:15" ht="21.95" customHeight="1">
      <c r="A16" s="590"/>
      <c r="B16" s="591"/>
      <c r="C16" s="591"/>
      <c r="D16" s="591"/>
      <c r="E16" s="591"/>
      <c r="F16" s="591"/>
      <c r="G16" s="591"/>
      <c r="H16" s="591"/>
      <c r="I16" s="591"/>
      <c r="J16" s="591"/>
      <c r="K16" s="591"/>
      <c r="L16" s="591"/>
      <c r="M16" s="591"/>
      <c r="N16" s="591"/>
      <c r="O16" s="592"/>
    </row>
    <row r="17" spans="1:15" ht="21.95" customHeight="1">
      <c r="A17" s="590"/>
      <c r="B17" s="591"/>
      <c r="C17" s="591"/>
      <c r="D17" s="591"/>
      <c r="E17" s="591"/>
      <c r="F17" s="591"/>
      <c r="G17" s="591"/>
      <c r="H17" s="591"/>
      <c r="I17" s="591"/>
      <c r="J17" s="591"/>
      <c r="K17" s="591"/>
      <c r="L17" s="591"/>
      <c r="M17" s="591"/>
      <c r="N17" s="591"/>
      <c r="O17" s="592"/>
    </row>
    <row r="18" spans="1:15" ht="21.95" customHeight="1">
      <c r="A18" s="590"/>
      <c r="B18" s="591"/>
      <c r="C18" s="591"/>
      <c r="D18" s="591"/>
      <c r="E18" s="591"/>
      <c r="F18" s="591"/>
      <c r="G18" s="591"/>
      <c r="H18" s="591"/>
      <c r="I18" s="591"/>
      <c r="J18" s="591"/>
      <c r="K18" s="591"/>
      <c r="L18" s="591"/>
      <c r="M18" s="591"/>
      <c r="N18" s="591"/>
      <c r="O18" s="592"/>
    </row>
    <row r="19" spans="1:15" ht="21.95" customHeight="1">
      <c r="A19" s="593"/>
      <c r="B19" s="594"/>
      <c r="C19" s="594"/>
      <c r="D19" s="594"/>
      <c r="E19" s="594"/>
      <c r="F19" s="594"/>
      <c r="G19" s="594"/>
      <c r="H19" s="594"/>
      <c r="I19" s="594"/>
      <c r="J19" s="594"/>
      <c r="K19" s="594"/>
      <c r="L19" s="594"/>
      <c r="M19" s="594"/>
      <c r="N19" s="594"/>
      <c r="O19" s="595"/>
    </row>
  </sheetData>
  <mergeCells count="2">
    <mergeCell ref="A1:O1"/>
    <mergeCell ref="A2:O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1044B-8A5A-4A8F-BF34-C58F078C2E33}">
  <sheetPr>
    <tabColor rgb="FF2F5597"/>
  </sheetPr>
  <dimension ref="A1:N19"/>
  <sheetViews>
    <sheetView workbookViewId="0">
      <selection sqref="A1:N1"/>
    </sheetView>
  </sheetViews>
  <sheetFormatPr defaultRowHeight="15"/>
  <cols>
    <col min="1" max="1" width="5.28515625" customWidth="1"/>
    <col min="2" max="2" width="13.28515625" customWidth="1"/>
    <col min="3" max="3" width="6.85546875" customWidth="1"/>
    <col min="4" max="4" width="11.42578125" customWidth="1"/>
    <col min="5" max="6" width="6.85546875" customWidth="1"/>
    <col min="7" max="10" width="5.7109375" customWidth="1"/>
    <col min="11" max="11" width="7.5703125" customWidth="1"/>
    <col min="12" max="12" width="15.28515625" customWidth="1"/>
    <col min="13" max="13" width="5.7109375" customWidth="1"/>
    <col min="14" max="14" width="9.5703125" customWidth="1"/>
  </cols>
  <sheetData>
    <row r="1" spans="1:14" ht="32.1" customHeight="1">
      <c r="A1" s="583" t="s">
        <v>4066</v>
      </c>
      <c r="B1" s="583"/>
      <c r="C1" s="583"/>
      <c r="D1" s="583"/>
      <c r="E1" s="583"/>
      <c r="F1" s="583"/>
      <c r="G1" s="583"/>
      <c r="H1" s="583"/>
      <c r="I1" s="583"/>
      <c r="J1" s="583"/>
      <c r="K1" s="583"/>
      <c r="L1" s="583"/>
      <c r="M1" s="583"/>
      <c r="N1" s="583"/>
    </row>
    <row r="2" spans="1:14" ht="21.95" customHeight="1">
      <c r="A2" s="584" t="s">
        <v>4067</v>
      </c>
      <c r="B2" s="584"/>
      <c r="C2" s="584"/>
      <c r="D2" s="584"/>
      <c r="E2" s="584"/>
      <c r="F2" s="584"/>
      <c r="G2" s="584"/>
      <c r="H2" s="584"/>
      <c r="I2" s="584"/>
      <c r="J2" s="584"/>
      <c r="K2" s="584"/>
      <c r="L2" s="584"/>
      <c r="M2" s="584"/>
      <c r="N2" s="584"/>
    </row>
    <row r="3" spans="1:14" ht="30" customHeight="1">
      <c r="A3" s="430" t="s">
        <v>1756</v>
      </c>
      <c r="B3" s="431" t="s">
        <v>1757</v>
      </c>
      <c r="C3" s="431" t="s">
        <v>1758</v>
      </c>
      <c r="D3" s="431" t="s">
        <v>1759</v>
      </c>
      <c r="E3" s="431" t="s">
        <v>1760</v>
      </c>
      <c r="F3" s="431" t="s">
        <v>1761</v>
      </c>
      <c r="G3" s="431" t="s">
        <v>1762</v>
      </c>
      <c r="H3" s="431" t="s">
        <v>1763</v>
      </c>
      <c r="I3" s="431" t="s">
        <v>1764</v>
      </c>
      <c r="J3" s="431" t="s">
        <v>1765</v>
      </c>
      <c r="K3" s="431" t="s">
        <v>17</v>
      </c>
      <c r="L3" s="431" t="s">
        <v>1766</v>
      </c>
      <c r="M3" s="431" t="s">
        <v>1039</v>
      </c>
      <c r="N3" s="586" t="s">
        <v>1767</v>
      </c>
    </row>
    <row r="4" spans="1:14" ht="44.1" customHeight="1">
      <c r="A4" s="587" t="s">
        <v>4068</v>
      </c>
      <c r="B4" s="588" t="s">
        <v>4069</v>
      </c>
      <c r="C4" s="588" t="s">
        <v>4070</v>
      </c>
      <c r="D4" s="588" t="s">
        <v>4071</v>
      </c>
      <c r="E4" s="588" t="s">
        <v>4072</v>
      </c>
      <c r="F4" s="588" t="s">
        <v>4073</v>
      </c>
      <c r="G4" s="588" t="s">
        <v>4074</v>
      </c>
      <c r="H4" s="588" t="s">
        <v>4075</v>
      </c>
      <c r="I4" s="588" t="s">
        <v>4076</v>
      </c>
      <c r="J4" s="588" t="s">
        <v>4077</v>
      </c>
      <c r="K4" s="588" t="s">
        <v>4078</v>
      </c>
      <c r="L4" s="588" t="s">
        <v>4079</v>
      </c>
      <c r="M4" s="588" t="s">
        <v>4080</v>
      </c>
      <c r="N4" s="589" t="s">
        <v>4081</v>
      </c>
    </row>
    <row r="5" spans="1:14" ht="21.95" customHeight="1">
      <c r="A5" s="590"/>
      <c r="B5" s="591"/>
      <c r="C5" s="591"/>
      <c r="D5" s="591"/>
      <c r="E5" s="591"/>
      <c r="F5" s="591"/>
      <c r="G5" s="591"/>
      <c r="H5" s="591"/>
      <c r="I5" s="591"/>
      <c r="J5" s="591"/>
      <c r="K5" s="591"/>
      <c r="L5" s="591"/>
      <c r="M5" s="591"/>
      <c r="N5" s="592"/>
    </row>
    <row r="6" spans="1:14" ht="21.95" customHeight="1">
      <c r="A6" s="590"/>
      <c r="B6" s="591"/>
      <c r="C6" s="591"/>
      <c r="D6" s="591"/>
      <c r="E6" s="591"/>
      <c r="F6" s="591"/>
      <c r="G6" s="591"/>
      <c r="H6" s="591"/>
      <c r="I6" s="591"/>
      <c r="J6" s="591"/>
      <c r="K6" s="591"/>
      <c r="L6" s="591"/>
      <c r="M6" s="591"/>
      <c r="N6" s="592"/>
    </row>
    <row r="7" spans="1:14" ht="21.95" customHeight="1">
      <c r="A7" s="590"/>
      <c r="B7" s="591"/>
      <c r="C7" s="591"/>
      <c r="D7" s="591"/>
      <c r="E7" s="591"/>
      <c r="F7" s="591"/>
      <c r="G7" s="591"/>
      <c r="H7" s="591"/>
      <c r="I7" s="591"/>
      <c r="J7" s="591"/>
      <c r="K7" s="591"/>
      <c r="L7" s="591"/>
      <c r="M7" s="591"/>
      <c r="N7" s="592"/>
    </row>
    <row r="8" spans="1:14" ht="21.95" customHeight="1">
      <c r="A8" s="590"/>
      <c r="B8" s="591"/>
      <c r="C8" s="591"/>
      <c r="D8" s="591"/>
      <c r="E8" s="591"/>
      <c r="F8" s="591"/>
      <c r="G8" s="591"/>
      <c r="H8" s="591"/>
      <c r="I8" s="591"/>
      <c r="J8" s="591"/>
      <c r="K8" s="591"/>
      <c r="L8" s="591"/>
      <c r="M8" s="591"/>
      <c r="N8" s="592"/>
    </row>
    <row r="9" spans="1:14" ht="21.95" customHeight="1">
      <c r="A9" s="590"/>
      <c r="B9" s="591"/>
      <c r="C9" s="591"/>
      <c r="D9" s="591"/>
      <c r="E9" s="591"/>
      <c r="F9" s="591"/>
      <c r="G9" s="591"/>
      <c r="H9" s="591"/>
      <c r="I9" s="591"/>
      <c r="J9" s="591"/>
      <c r="K9" s="591"/>
      <c r="L9" s="591"/>
      <c r="M9" s="591"/>
      <c r="N9" s="592"/>
    </row>
    <row r="10" spans="1:14" ht="21.95" customHeight="1">
      <c r="A10" s="590"/>
      <c r="B10" s="591"/>
      <c r="C10" s="591"/>
      <c r="D10" s="591"/>
      <c r="E10" s="591"/>
      <c r="F10" s="591"/>
      <c r="G10" s="591"/>
      <c r="H10" s="591"/>
      <c r="I10" s="591"/>
      <c r="J10" s="591"/>
      <c r="K10" s="591"/>
      <c r="L10" s="591"/>
      <c r="M10" s="591"/>
      <c r="N10" s="592"/>
    </row>
    <row r="11" spans="1:14" ht="21.95" customHeight="1">
      <c r="A11" s="590"/>
      <c r="B11" s="591"/>
      <c r="C11" s="591"/>
      <c r="D11" s="591"/>
      <c r="E11" s="591"/>
      <c r="F11" s="591"/>
      <c r="G11" s="591"/>
      <c r="H11" s="591"/>
      <c r="I11" s="591"/>
      <c r="J11" s="591"/>
      <c r="K11" s="591"/>
      <c r="L11" s="591"/>
      <c r="M11" s="591"/>
      <c r="N11" s="592"/>
    </row>
    <row r="12" spans="1:14" ht="21.95" customHeight="1">
      <c r="A12" s="590"/>
      <c r="B12" s="591"/>
      <c r="C12" s="591"/>
      <c r="D12" s="591"/>
      <c r="E12" s="591"/>
      <c r="F12" s="591"/>
      <c r="G12" s="591"/>
      <c r="H12" s="591"/>
      <c r="I12" s="591"/>
      <c r="J12" s="591"/>
      <c r="K12" s="591"/>
      <c r="L12" s="591"/>
      <c r="M12" s="591"/>
      <c r="N12" s="592"/>
    </row>
    <row r="13" spans="1:14" ht="21.95" customHeight="1">
      <c r="A13" s="590"/>
      <c r="B13" s="591"/>
      <c r="C13" s="591"/>
      <c r="D13" s="591"/>
      <c r="E13" s="591"/>
      <c r="F13" s="591"/>
      <c r="G13" s="591"/>
      <c r="H13" s="591"/>
      <c r="I13" s="591"/>
      <c r="J13" s="591"/>
      <c r="K13" s="591"/>
      <c r="L13" s="591"/>
      <c r="M13" s="591"/>
      <c r="N13" s="592"/>
    </row>
    <row r="14" spans="1:14" ht="21.95" customHeight="1">
      <c r="A14" s="590"/>
      <c r="B14" s="591"/>
      <c r="C14" s="591"/>
      <c r="D14" s="591"/>
      <c r="E14" s="591"/>
      <c r="F14" s="591"/>
      <c r="G14" s="591"/>
      <c r="H14" s="591"/>
      <c r="I14" s="591"/>
      <c r="J14" s="591"/>
      <c r="K14" s="591"/>
      <c r="L14" s="591"/>
      <c r="M14" s="591"/>
      <c r="N14" s="592"/>
    </row>
    <row r="15" spans="1:14" ht="21.95" customHeight="1">
      <c r="A15" s="590"/>
      <c r="B15" s="591"/>
      <c r="C15" s="591"/>
      <c r="D15" s="591"/>
      <c r="E15" s="591"/>
      <c r="F15" s="591"/>
      <c r="G15" s="591"/>
      <c r="H15" s="591"/>
      <c r="I15" s="591"/>
      <c r="J15" s="591"/>
      <c r="K15" s="591"/>
      <c r="L15" s="591"/>
      <c r="M15" s="591"/>
      <c r="N15" s="592"/>
    </row>
    <row r="16" spans="1:14" ht="21.95" customHeight="1">
      <c r="A16" s="590"/>
      <c r="B16" s="591"/>
      <c r="C16" s="591"/>
      <c r="D16" s="591"/>
      <c r="E16" s="591"/>
      <c r="F16" s="591"/>
      <c r="G16" s="591"/>
      <c r="H16" s="591"/>
      <c r="I16" s="591"/>
      <c r="J16" s="591"/>
      <c r="K16" s="591"/>
      <c r="L16" s="591"/>
      <c r="M16" s="591"/>
      <c r="N16" s="592"/>
    </row>
    <row r="17" spans="1:14" ht="21.95" customHeight="1">
      <c r="A17" s="590"/>
      <c r="B17" s="591"/>
      <c r="C17" s="591"/>
      <c r="D17" s="591"/>
      <c r="E17" s="591"/>
      <c r="F17" s="591"/>
      <c r="G17" s="591"/>
      <c r="H17" s="591"/>
      <c r="I17" s="591"/>
      <c r="J17" s="591"/>
      <c r="K17" s="591"/>
      <c r="L17" s="591"/>
      <c r="M17" s="591"/>
      <c r="N17" s="592"/>
    </row>
    <row r="18" spans="1:14" ht="21.95" customHeight="1">
      <c r="A18" s="590"/>
      <c r="B18" s="591"/>
      <c r="C18" s="591"/>
      <c r="D18" s="591"/>
      <c r="E18" s="591"/>
      <c r="F18" s="591"/>
      <c r="G18" s="591"/>
      <c r="H18" s="591"/>
      <c r="I18" s="591"/>
      <c r="J18" s="591"/>
      <c r="K18" s="591"/>
      <c r="L18" s="591"/>
      <c r="M18" s="591"/>
      <c r="N18" s="592"/>
    </row>
    <row r="19" spans="1:14" ht="21.95" customHeight="1">
      <c r="A19" s="593"/>
      <c r="B19" s="594"/>
      <c r="C19" s="594"/>
      <c r="D19" s="594"/>
      <c r="E19" s="594"/>
      <c r="F19" s="594"/>
      <c r="G19" s="594"/>
      <c r="H19" s="594"/>
      <c r="I19" s="594"/>
      <c r="J19" s="594"/>
      <c r="K19" s="594"/>
      <c r="L19" s="594"/>
      <c r="M19" s="594"/>
      <c r="N19" s="595"/>
    </row>
  </sheetData>
  <mergeCells count="2">
    <mergeCell ref="A1:N1"/>
    <mergeCell ref="A2:N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57079-5E24-4E65-8E29-01DA53FF81BF}">
  <sheetPr>
    <tabColor rgb="FF2F5597"/>
  </sheetPr>
  <dimension ref="A1:K19"/>
  <sheetViews>
    <sheetView workbookViewId="0">
      <selection sqref="A1:K1"/>
    </sheetView>
  </sheetViews>
  <sheetFormatPr defaultRowHeight="15"/>
  <cols>
    <col min="1" max="1" width="5.28515625" customWidth="1"/>
    <col min="2" max="2" width="13.28515625" customWidth="1"/>
    <col min="3" max="3" width="11.42578125" customWidth="1"/>
    <col min="4" max="6" width="5.7109375" customWidth="1"/>
    <col min="7" max="7" width="5.28515625" customWidth="1"/>
    <col min="8" max="8" width="7.5703125" customWidth="1"/>
    <col min="9" max="9" width="5.28515625" customWidth="1"/>
    <col min="10" max="10" width="15.28515625" customWidth="1"/>
    <col min="11" max="11" width="11.42578125" customWidth="1"/>
  </cols>
  <sheetData>
    <row r="1" spans="1:11" ht="32.1" customHeight="1">
      <c r="A1" s="583" t="s">
        <v>4082</v>
      </c>
      <c r="B1" s="583"/>
      <c r="C1" s="583"/>
      <c r="D1" s="583"/>
      <c r="E1" s="583"/>
      <c r="F1" s="583"/>
      <c r="G1" s="583"/>
      <c r="H1" s="583"/>
      <c r="I1" s="583"/>
      <c r="J1" s="583"/>
      <c r="K1" s="583"/>
    </row>
    <row r="2" spans="1:11" ht="21.95" customHeight="1">
      <c r="A2" s="584" t="s">
        <v>4083</v>
      </c>
      <c r="B2" s="584"/>
      <c r="C2" s="584"/>
      <c r="D2" s="584"/>
      <c r="E2" s="584"/>
      <c r="F2" s="584"/>
      <c r="G2" s="584"/>
      <c r="H2" s="584"/>
      <c r="I2" s="584"/>
      <c r="J2" s="584"/>
      <c r="K2" s="584"/>
    </row>
    <row r="3" spans="1:11" ht="30" customHeight="1">
      <c r="A3" s="430" t="s">
        <v>2404</v>
      </c>
      <c r="B3" s="431" t="s">
        <v>2405</v>
      </c>
      <c r="C3" s="431" t="s">
        <v>2406</v>
      </c>
      <c r="D3" s="431" t="s">
        <v>303</v>
      </c>
      <c r="E3" s="431" t="s">
        <v>3575</v>
      </c>
      <c r="F3" s="431" t="s">
        <v>1764</v>
      </c>
      <c r="G3" s="431" t="s">
        <v>277</v>
      </c>
      <c r="H3" s="431" t="s">
        <v>17</v>
      </c>
      <c r="I3" s="431" t="s">
        <v>16</v>
      </c>
      <c r="J3" s="431" t="s">
        <v>2408</v>
      </c>
      <c r="K3" s="586" t="s">
        <v>78</v>
      </c>
    </row>
    <row r="4" spans="1:11" ht="44.1" customHeight="1">
      <c r="A4" s="587" t="s">
        <v>4084</v>
      </c>
      <c r="B4" s="588" t="s">
        <v>4085</v>
      </c>
      <c r="C4" s="588" t="s">
        <v>4086</v>
      </c>
      <c r="D4" s="588" t="s">
        <v>4087</v>
      </c>
      <c r="E4" s="588" t="s">
        <v>4088</v>
      </c>
      <c r="F4" s="588" t="s">
        <v>4076</v>
      </c>
      <c r="G4" s="588" t="s">
        <v>4089</v>
      </c>
      <c r="H4" s="588" t="s">
        <v>4090</v>
      </c>
      <c r="I4" s="588" t="s">
        <v>4091</v>
      </c>
      <c r="J4" s="588" t="s">
        <v>4092</v>
      </c>
      <c r="K4" s="589" t="s">
        <v>4093</v>
      </c>
    </row>
    <row r="5" spans="1:11" ht="21.95" customHeight="1">
      <c r="A5" s="590"/>
      <c r="B5" s="591"/>
      <c r="C5" s="591"/>
      <c r="D5" s="591"/>
      <c r="E5" s="591"/>
      <c r="F5" s="591"/>
      <c r="G5" s="591"/>
      <c r="H5" s="591"/>
      <c r="I5" s="591"/>
      <c r="J5" s="591"/>
      <c r="K5" s="592"/>
    </row>
    <row r="6" spans="1:11" ht="21.95" customHeight="1">
      <c r="A6" s="590"/>
      <c r="B6" s="591"/>
      <c r="C6" s="591"/>
      <c r="D6" s="591"/>
      <c r="E6" s="591"/>
      <c r="F6" s="591"/>
      <c r="G6" s="591"/>
      <c r="H6" s="591"/>
      <c r="I6" s="591"/>
      <c r="J6" s="591"/>
      <c r="K6" s="592"/>
    </row>
    <row r="7" spans="1:11" ht="21.95" customHeight="1">
      <c r="A7" s="590"/>
      <c r="B7" s="591"/>
      <c r="C7" s="591"/>
      <c r="D7" s="591"/>
      <c r="E7" s="591"/>
      <c r="F7" s="591"/>
      <c r="G7" s="591"/>
      <c r="H7" s="591"/>
      <c r="I7" s="591"/>
      <c r="J7" s="591"/>
      <c r="K7" s="592"/>
    </row>
    <row r="8" spans="1:11" ht="21.95" customHeight="1">
      <c r="A8" s="590"/>
      <c r="B8" s="591"/>
      <c r="C8" s="591"/>
      <c r="D8" s="591"/>
      <c r="E8" s="591"/>
      <c r="F8" s="591"/>
      <c r="G8" s="591"/>
      <c r="H8" s="591"/>
      <c r="I8" s="591"/>
      <c r="J8" s="591"/>
      <c r="K8" s="592"/>
    </row>
    <row r="9" spans="1:11" ht="21.95" customHeight="1">
      <c r="A9" s="590"/>
      <c r="B9" s="591"/>
      <c r="C9" s="591"/>
      <c r="D9" s="591"/>
      <c r="E9" s="591"/>
      <c r="F9" s="591"/>
      <c r="G9" s="591"/>
      <c r="H9" s="591"/>
      <c r="I9" s="591"/>
      <c r="J9" s="591"/>
      <c r="K9" s="592"/>
    </row>
    <row r="10" spans="1:11" ht="21.95" customHeight="1">
      <c r="A10" s="590"/>
      <c r="B10" s="591"/>
      <c r="C10" s="591"/>
      <c r="D10" s="591"/>
      <c r="E10" s="591"/>
      <c r="F10" s="591"/>
      <c r="G10" s="591"/>
      <c r="H10" s="591"/>
      <c r="I10" s="591"/>
      <c r="J10" s="591"/>
      <c r="K10" s="592"/>
    </row>
    <row r="11" spans="1:11" ht="21.95" customHeight="1">
      <c r="A11" s="590"/>
      <c r="B11" s="591"/>
      <c r="C11" s="591"/>
      <c r="D11" s="591"/>
      <c r="E11" s="591"/>
      <c r="F11" s="591"/>
      <c r="G11" s="591"/>
      <c r="H11" s="591"/>
      <c r="I11" s="591"/>
      <c r="J11" s="591"/>
      <c r="K11" s="592"/>
    </row>
    <row r="12" spans="1:11" ht="21.95" customHeight="1">
      <c r="A12" s="590"/>
      <c r="B12" s="591"/>
      <c r="C12" s="591"/>
      <c r="D12" s="591"/>
      <c r="E12" s="591"/>
      <c r="F12" s="591"/>
      <c r="G12" s="591"/>
      <c r="H12" s="591"/>
      <c r="I12" s="591"/>
      <c r="J12" s="591"/>
      <c r="K12" s="592"/>
    </row>
    <row r="13" spans="1:11" ht="21.95" customHeight="1">
      <c r="A13" s="590"/>
      <c r="B13" s="591"/>
      <c r="C13" s="591"/>
      <c r="D13" s="591"/>
      <c r="E13" s="591"/>
      <c r="F13" s="591"/>
      <c r="G13" s="591"/>
      <c r="H13" s="591"/>
      <c r="I13" s="591"/>
      <c r="J13" s="591"/>
      <c r="K13" s="592"/>
    </row>
    <row r="14" spans="1:11" ht="21.95" customHeight="1">
      <c r="A14" s="590"/>
      <c r="B14" s="591"/>
      <c r="C14" s="591"/>
      <c r="D14" s="591"/>
      <c r="E14" s="591"/>
      <c r="F14" s="591"/>
      <c r="G14" s="591"/>
      <c r="H14" s="591"/>
      <c r="I14" s="591"/>
      <c r="J14" s="591"/>
      <c r="K14" s="592"/>
    </row>
    <row r="15" spans="1:11" ht="21.95" customHeight="1">
      <c r="A15" s="590"/>
      <c r="B15" s="591"/>
      <c r="C15" s="591"/>
      <c r="D15" s="591"/>
      <c r="E15" s="591"/>
      <c r="F15" s="591"/>
      <c r="G15" s="591"/>
      <c r="H15" s="591"/>
      <c r="I15" s="591"/>
      <c r="J15" s="591"/>
      <c r="K15" s="592"/>
    </row>
    <row r="16" spans="1:11" ht="21.95" customHeight="1">
      <c r="A16" s="590"/>
      <c r="B16" s="591"/>
      <c r="C16" s="591"/>
      <c r="D16" s="591"/>
      <c r="E16" s="591"/>
      <c r="F16" s="591"/>
      <c r="G16" s="591"/>
      <c r="H16" s="591"/>
      <c r="I16" s="591"/>
      <c r="J16" s="591"/>
      <c r="K16" s="592"/>
    </row>
    <row r="17" spans="1:11" ht="21.95" customHeight="1">
      <c r="A17" s="590"/>
      <c r="B17" s="591"/>
      <c r="C17" s="591"/>
      <c r="D17" s="591"/>
      <c r="E17" s="591"/>
      <c r="F17" s="591"/>
      <c r="G17" s="591"/>
      <c r="H17" s="591"/>
      <c r="I17" s="591"/>
      <c r="J17" s="591"/>
      <c r="K17" s="592"/>
    </row>
    <row r="18" spans="1:11" ht="21.95" customHeight="1">
      <c r="A18" s="590"/>
      <c r="B18" s="591"/>
      <c r="C18" s="591"/>
      <c r="D18" s="591"/>
      <c r="E18" s="591"/>
      <c r="F18" s="591"/>
      <c r="G18" s="591"/>
      <c r="H18" s="591"/>
      <c r="I18" s="591"/>
      <c r="J18" s="591"/>
      <c r="K18" s="592"/>
    </row>
    <row r="19" spans="1:11" ht="21.95" customHeight="1">
      <c r="A19" s="593"/>
      <c r="B19" s="594"/>
      <c r="C19" s="594"/>
      <c r="D19" s="594"/>
      <c r="E19" s="594"/>
      <c r="F19" s="594"/>
      <c r="G19" s="594"/>
      <c r="H19" s="594"/>
      <c r="I19" s="594"/>
      <c r="J19" s="594"/>
      <c r="K19" s="595"/>
    </row>
  </sheetData>
  <mergeCells count="2">
    <mergeCell ref="A1:K1"/>
    <mergeCell ref="A2:K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6CD18-C162-41D3-97AA-D483575C3AB3}">
  <sheetPr>
    <tabColor rgb="FF2F5597"/>
  </sheetPr>
  <dimension ref="A1:N19"/>
  <sheetViews>
    <sheetView workbookViewId="0">
      <selection sqref="A1:N1"/>
    </sheetView>
  </sheetViews>
  <sheetFormatPr defaultRowHeight="15"/>
  <cols>
    <col min="1" max="2" width="5.28515625" customWidth="1"/>
    <col min="3" max="3" width="6.42578125" customWidth="1"/>
    <col min="4" max="4" width="4.5703125" customWidth="1"/>
    <col min="5" max="5" width="13.28515625" customWidth="1"/>
    <col min="6" max="6" width="17.140625" customWidth="1"/>
    <col min="7" max="7" width="15.28515625" customWidth="1"/>
    <col min="8" max="10" width="13.28515625" customWidth="1"/>
    <col min="11" max="11" width="7.5703125" customWidth="1"/>
    <col min="12" max="12" width="15.28515625" customWidth="1"/>
    <col min="13" max="13" width="5.7109375" customWidth="1"/>
    <col min="14" max="14" width="5.28515625" customWidth="1"/>
  </cols>
  <sheetData>
    <row r="1" spans="1:14" ht="32.1" customHeight="1">
      <c r="A1" s="583" t="s">
        <v>4094</v>
      </c>
      <c r="B1" s="583"/>
      <c r="C1" s="583"/>
      <c r="D1" s="583"/>
      <c r="E1" s="583"/>
      <c r="F1" s="583"/>
      <c r="G1" s="583"/>
      <c r="H1" s="583"/>
      <c r="I1" s="583"/>
      <c r="J1" s="583"/>
      <c r="K1" s="583"/>
      <c r="L1" s="583"/>
      <c r="M1" s="583"/>
      <c r="N1" s="583"/>
    </row>
    <row r="2" spans="1:14" ht="21.95" customHeight="1">
      <c r="A2" s="584" t="s">
        <v>4095</v>
      </c>
      <c r="B2" s="584"/>
      <c r="C2" s="584"/>
      <c r="D2" s="584"/>
      <c r="E2" s="584"/>
      <c r="F2" s="584"/>
      <c r="G2" s="584"/>
      <c r="H2" s="584"/>
      <c r="I2" s="584"/>
      <c r="J2" s="584"/>
      <c r="K2" s="584"/>
      <c r="L2" s="584"/>
      <c r="M2" s="584"/>
      <c r="N2" s="584"/>
    </row>
    <row r="3" spans="1:14" ht="30" customHeight="1">
      <c r="A3" s="430" t="s">
        <v>1985</v>
      </c>
      <c r="B3" s="431" t="s">
        <v>566</v>
      </c>
      <c r="C3" s="431" t="s">
        <v>523</v>
      </c>
      <c r="D3" s="431" t="s">
        <v>1986</v>
      </c>
      <c r="E3" s="431" t="s">
        <v>1987</v>
      </c>
      <c r="F3" s="431" t="s">
        <v>1988</v>
      </c>
      <c r="G3" s="431" t="s">
        <v>1989</v>
      </c>
      <c r="H3" s="431" t="s">
        <v>1990</v>
      </c>
      <c r="I3" s="431" t="s">
        <v>1991</v>
      </c>
      <c r="J3" s="431" t="s">
        <v>1992</v>
      </c>
      <c r="K3" s="431" t="s">
        <v>17</v>
      </c>
      <c r="L3" s="431" t="s">
        <v>1993</v>
      </c>
      <c r="M3" s="431" t="s">
        <v>1994</v>
      </c>
      <c r="N3" s="586" t="s">
        <v>1995</v>
      </c>
    </row>
    <row r="4" spans="1:14" ht="44.1" customHeight="1">
      <c r="A4" s="587" t="s">
        <v>4096</v>
      </c>
      <c r="B4" s="588" t="s">
        <v>4097</v>
      </c>
      <c r="C4" s="588" t="s">
        <v>4098</v>
      </c>
      <c r="D4" s="588" t="s">
        <v>4099</v>
      </c>
      <c r="E4" s="588" t="s">
        <v>4100</v>
      </c>
      <c r="F4" s="588" t="s">
        <v>4101</v>
      </c>
      <c r="G4" s="588" t="s">
        <v>4102</v>
      </c>
      <c r="H4" s="588" t="s">
        <v>4103</v>
      </c>
      <c r="I4" s="588" t="s">
        <v>4104</v>
      </c>
      <c r="J4" s="588" t="s">
        <v>4105</v>
      </c>
      <c r="K4" s="588" t="s">
        <v>4106</v>
      </c>
      <c r="L4" s="588" t="s">
        <v>4107</v>
      </c>
      <c r="M4" s="588" t="s">
        <v>4108</v>
      </c>
      <c r="N4" s="589" t="s">
        <v>4109</v>
      </c>
    </row>
    <row r="5" spans="1:14" ht="21.95" customHeight="1">
      <c r="A5" s="590"/>
      <c r="B5" s="591"/>
      <c r="C5" s="591"/>
      <c r="D5" s="591"/>
      <c r="E5" s="591"/>
      <c r="F5" s="591"/>
      <c r="G5" s="591"/>
      <c r="H5" s="591"/>
      <c r="I5" s="591"/>
      <c r="J5" s="591"/>
      <c r="K5" s="591"/>
      <c r="L5" s="591"/>
      <c r="M5" s="591"/>
      <c r="N5" s="592"/>
    </row>
    <row r="6" spans="1:14" ht="21.95" customHeight="1">
      <c r="A6" s="590"/>
      <c r="B6" s="591"/>
      <c r="C6" s="591"/>
      <c r="D6" s="591"/>
      <c r="E6" s="591"/>
      <c r="F6" s="591"/>
      <c r="G6" s="591"/>
      <c r="H6" s="591"/>
      <c r="I6" s="591"/>
      <c r="J6" s="591"/>
      <c r="K6" s="591"/>
      <c r="L6" s="591"/>
      <c r="M6" s="591"/>
      <c r="N6" s="592"/>
    </row>
    <row r="7" spans="1:14" ht="21.95" customHeight="1">
      <c r="A7" s="590"/>
      <c r="B7" s="591"/>
      <c r="C7" s="591"/>
      <c r="D7" s="591"/>
      <c r="E7" s="591"/>
      <c r="F7" s="591"/>
      <c r="G7" s="591"/>
      <c r="H7" s="591"/>
      <c r="I7" s="591"/>
      <c r="J7" s="591"/>
      <c r="K7" s="591"/>
      <c r="L7" s="591"/>
      <c r="M7" s="591"/>
      <c r="N7" s="592"/>
    </row>
    <row r="8" spans="1:14" ht="21.95" customHeight="1">
      <c r="A8" s="590"/>
      <c r="B8" s="591"/>
      <c r="C8" s="591"/>
      <c r="D8" s="591"/>
      <c r="E8" s="591"/>
      <c r="F8" s="591"/>
      <c r="G8" s="591"/>
      <c r="H8" s="591"/>
      <c r="I8" s="591"/>
      <c r="J8" s="591"/>
      <c r="K8" s="591"/>
      <c r="L8" s="591"/>
      <c r="M8" s="591"/>
      <c r="N8" s="592"/>
    </row>
    <row r="9" spans="1:14" ht="21.95" customHeight="1">
      <c r="A9" s="590"/>
      <c r="B9" s="591"/>
      <c r="C9" s="591"/>
      <c r="D9" s="591"/>
      <c r="E9" s="591"/>
      <c r="F9" s="591"/>
      <c r="G9" s="591"/>
      <c r="H9" s="591"/>
      <c r="I9" s="591"/>
      <c r="J9" s="591"/>
      <c r="K9" s="591"/>
      <c r="L9" s="591"/>
      <c r="M9" s="591"/>
      <c r="N9" s="592"/>
    </row>
    <row r="10" spans="1:14" ht="21.95" customHeight="1">
      <c r="A10" s="590"/>
      <c r="B10" s="591"/>
      <c r="C10" s="591"/>
      <c r="D10" s="591"/>
      <c r="E10" s="591"/>
      <c r="F10" s="591"/>
      <c r="G10" s="591"/>
      <c r="H10" s="591"/>
      <c r="I10" s="591"/>
      <c r="J10" s="591"/>
      <c r="K10" s="591"/>
      <c r="L10" s="591"/>
      <c r="M10" s="591"/>
      <c r="N10" s="592"/>
    </row>
    <row r="11" spans="1:14" ht="21.95" customHeight="1">
      <c r="A11" s="590"/>
      <c r="B11" s="591"/>
      <c r="C11" s="591"/>
      <c r="D11" s="591"/>
      <c r="E11" s="591"/>
      <c r="F11" s="591"/>
      <c r="G11" s="591"/>
      <c r="H11" s="591"/>
      <c r="I11" s="591"/>
      <c r="J11" s="591"/>
      <c r="K11" s="591"/>
      <c r="L11" s="591"/>
      <c r="M11" s="591"/>
      <c r="N11" s="592"/>
    </row>
    <row r="12" spans="1:14" ht="21.95" customHeight="1">
      <c r="A12" s="590"/>
      <c r="B12" s="591"/>
      <c r="C12" s="591"/>
      <c r="D12" s="591"/>
      <c r="E12" s="591"/>
      <c r="F12" s="591"/>
      <c r="G12" s="591"/>
      <c r="H12" s="591"/>
      <c r="I12" s="591"/>
      <c r="J12" s="591"/>
      <c r="K12" s="591"/>
      <c r="L12" s="591"/>
      <c r="M12" s="591"/>
      <c r="N12" s="592"/>
    </row>
    <row r="13" spans="1:14" ht="21.95" customHeight="1">
      <c r="A13" s="590"/>
      <c r="B13" s="591"/>
      <c r="C13" s="591"/>
      <c r="D13" s="591"/>
      <c r="E13" s="591"/>
      <c r="F13" s="591"/>
      <c r="G13" s="591"/>
      <c r="H13" s="591"/>
      <c r="I13" s="591"/>
      <c r="J13" s="591"/>
      <c r="K13" s="591"/>
      <c r="L13" s="591"/>
      <c r="M13" s="591"/>
      <c r="N13" s="592"/>
    </row>
    <row r="14" spans="1:14" ht="21.95" customHeight="1">
      <c r="A14" s="590"/>
      <c r="B14" s="591"/>
      <c r="C14" s="591"/>
      <c r="D14" s="591"/>
      <c r="E14" s="591"/>
      <c r="F14" s="591"/>
      <c r="G14" s="591"/>
      <c r="H14" s="591"/>
      <c r="I14" s="591"/>
      <c r="J14" s="591"/>
      <c r="K14" s="591"/>
      <c r="L14" s="591"/>
      <c r="M14" s="591"/>
      <c r="N14" s="592"/>
    </row>
    <row r="15" spans="1:14" ht="21.95" customHeight="1">
      <c r="A15" s="590"/>
      <c r="B15" s="591"/>
      <c r="C15" s="591"/>
      <c r="D15" s="591"/>
      <c r="E15" s="591"/>
      <c r="F15" s="591"/>
      <c r="G15" s="591"/>
      <c r="H15" s="591"/>
      <c r="I15" s="591"/>
      <c r="J15" s="591"/>
      <c r="K15" s="591"/>
      <c r="L15" s="591"/>
      <c r="M15" s="591"/>
      <c r="N15" s="592"/>
    </row>
    <row r="16" spans="1:14" ht="21.95" customHeight="1">
      <c r="A16" s="590"/>
      <c r="B16" s="591"/>
      <c r="C16" s="591"/>
      <c r="D16" s="591"/>
      <c r="E16" s="591"/>
      <c r="F16" s="591"/>
      <c r="G16" s="591"/>
      <c r="H16" s="591"/>
      <c r="I16" s="591"/>
      <c r="J16" s="591"/>
      <c r="K16" s="591"/>
      <c r="L16" s="591"/>
      <c r="M16" s="591"/>
      <c r="N16" s="592"/>
    </row>
    <row r="17" spans="1:14" ht="21.95" customHeight="1">
      <c r="A17" s="590"/>
      <c r="B17" s="591"/>
      <c r="C17" s="591"/>
      <c r="D17" s="591"/>
      <c r="E17" s="591"/>
      <c r="F17" s="591"/>
      <c r="G17" s="591"/>
      <c r="H17" s="591"/>
      <c r="I17" s="591"/>
      <c r="J17" s="591"/>
      <c r="K17" s="591"/>
      <c r="L17" s="591"/>
      <c r="M17" s="591"/>
      <c r="N17" s="592"/>
    </row>
    <row r="18" spans="1:14" ht="21.95" customHeight="1">
      <c r="A18" s="590"/>
      <c r="B18" s="591"/>
      <c r="C18" s="591"/>
      <c r="D18" s="591"/>
      <c r="E18" s="591"/>
      <c r="F18" s="591"/>
      <c r="G18" s="591"/>
      <c r="H18" s="591"/>
      <c r="I18" s="591"/>
      <c r="J18" s="591"/>
      <c r="K18" s="591"/>
      <c r="L18" s="591"/>
      <c r="M18" s="591"/>
      <c r="N18" s="592"/>
    </row>
    <row r="19" spans="1:14" ht="21.95" customHeight="1">
      <c r="A19" s="593"/>
      <c r="B19" s="594"/>
      <c r="C19" s="594"/>
      <c r="D19" s="594"/>
      <c r="E19" s="594"/>
      <c r="F19" s="594"/>
      <c r="G19" s="594"/>
      <c r="H19" s="594"/>
      <c r="I19" s="594"/>
      <c r="J19" s="594"/>
      <c r="K19" s="594"/>
      <c r="L19" s="594"/>
      <c r="M19" s="594"/>
      <c r="N19" s="595"/>
    </row>
  </sheetData>
  <mergeCells count="2">
    <mergeCell ref="A1:N1"/>
    <mergeCell ref="A2:N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F012A-3EC9-41F0-8DA7-EBF13295B254}">
  <sheetPr>
    <tabColor rgb="FF2F5597"/>
  </sheetPr>
  <dimension ref="A1:Q19"/>
  <sheetViews>
    <sheetView workbookViewId="0">
      <selection sqref="A1:Q1"/>
    </sheetView>
  </sheetViews>
  <sheetFormatPr defaultRowHeight="15"/>
  <cols>
    <col min="1" max="1" width="5.28515625" customWidth="1"/>
    <col min="2" max="2" width="9.5703125" customWidth="1"/>
    <col min="3" max="3" width="11.42578125" customWidth="1"/>
    <col min="4" max="4" width="9.5703125" customWidth="1"/>
    <col min="5" max="5" width="5.7109375" customWidth="1"/>
    <col min="6" max="6" width="8.42578125" customWidth="1"/>
    <col min="7" max="10" width="6.85546875" customWidth="1"/>
    <col min="11" max="11" width="5.28515625" customWidth="1"/>
    <col min="12" max="12" width="15.28515625" customWidth="1"/>
    <col min="13" max="13" width="13.28515625" customWidth="1"/>
    <col min="14" max="14" width="6.42578125" customWidth="1"/>
    <col min="15" max="15" width="7.5703125" customWidth="1"/>
    <col min="16" max="16" width="5.7109375" customWidth="1"/>
    <col min="17" max="17" width="8.42578125" customWidth="1"/>
  </cols>
  <sheetData>
    <row r="1" spans="1:17" ht="32.1" customHeight="1">
      <c r="A1" s="583" t="s">
        <v>4110</v>
      </c>
      <c r="B1" s="583"/>
      <c r="C1" s="583"/>
      <c r="D1" s="583"/>
      <c r="E1" s="583"/>
      <c r="F1" s="583"/>
      <c r="G1" s="583"/>
      <c r="H1" s="583"/>
      <c r="I1" s="583"/>
      <c r="J1" s="583"/>
      <c r="K1" s="583"/>
      <c r="L1" s="583"/>
      <c r="M1" s="583"/>
      <c r="N1" s="583"/>
      <c r="O1" s="583"/>
      <c r="P1" s="583"/>
      <c r="Q1" s="583"/>
    </row>
    <row r="2" spans="1:17" ht="21.95" customHeight="1">
      <c r="A2" s="584" t="s">
        <v>4111</v>
      </c>
      <c r="B2" s="584"/>
      <c r="C2" s="584"/>
      <c r="D2" s="584"/>
      <c r="E2" s="584"/>
      <c r="F2" s="584"/>
      <c r="G2" s="584"/>
      <c r="H2" s="584"/>
      <c r="I2" s="584"/>
      <c r="J2" s="584"/>
      <c r="K2" s="584"/>
      <c r="L2" s="584"/>
      <c r="M2" s="584"/>
      <c r="N2" s="584"/>
      <c r="O2" s="584"/>
      <c r="P2" s="584"/>
      <c r="Q2" s="584"/>
    </row>
    <row r="3" spans="1:17" ht="30" customHeight="1">
      <c r="A3" s="430" t="s">
        <v>360</v>
      </c>
      <c r="B3" s="431" t="s">
        <v>1879</v>
      </c>
      <c r="C3" s="431" t="s">
        <v>1880</v>
      </c>
      <c r="D3" s="431" t="s">
        <v>825</v>
      </c>
      <c r="E3" s="431" t="s">
        <v>1881</v>
      </c>
      <c r="F3" s="431" t="s">
        <v>1882</v>
      </c>
      <c r="G3" s="431" t="s">
        <v>1883</v>
      </c>
      <c r="H3" s="431" t="s">
        <v>1884</v>
      </c>
      <c r="I3" s="431" t="s">
        <v>1885</v>
      </c>
      <c r="J3" s="431" t="s">
        <v>1886</v>
      </c>
      <c r="K3" s="431" t="s">
        <v>1887</v>
      </c>
      <c r="L3" s="431" t="s">
        <v>1888</v>
      </c>
      <c r="M3" s="431" t="s">
        <v>363</v>
      </c>
      <c r="N3" s="431" t="s">
        <v>1889</v>
      </c>
      <c r="O3" s="431" t="s">
        <v>17</v>
      </c>
      <c r="P3" s="431" t="s">
        <v>1890</v>
      </c>
      <c r="Q3" s="586" t="s">
        <v>4112</v>
      </c>
    </row>
    <row r="4" spans="1:17" ht="44.1" customHeight="1">
      <c r="A4" s="587" t="s">
        <v>4113</v>
      </c>
      <c r="B4" s="588" t="s">
        <v>4114</v>
      </c>
      <c r="C4" s="588" t="s">
        <v>4115</v>
      </c>
      <c r="D4" s="588" t="s">
        <v>4116</v>
      </c>
      <c r="E4" s="588" t="s">
        <v>4025</v>
      </c>
      <c r="F4" s="588" t="s">
        <v>4117</v>
      </c>
      <c r="G4" s="588" t="s">
        <v>4118</v>
      </c>
      <c r="H4" s="588" t="s">
        <v>4118</v>
      </c>
      <c r="I4" s="588" t="s">
        <v>4118</v>
      </c>
      <c r="J4" s="588" t="s">
        <v>4119</v>
      </c>
      <c r="K4" s="588" t="s">
        <v>4120</v>
      </c>
      <c r="L4" s="588" t="s">
        <v>4121</v>
      </c>
      <c r="M4" s="588" t="s">
        <v>4122</v>
      </c>
      <c r="N4" s="588" t="s">
        <v>4123</v>
      </c>
      <c r="O4" s="588" t="s">
        <v>4124</v>
      </c>
      <c r="P4" s="588" t="s">
        <v>4125</v>
      </c>
      <c r="Q4" s="589" t="s">
        <v>4126</v>
      </c>
    </row>
    <row r="5" spans="1:17" ht="21.95" customHeight="1">
      <c r="A5" s="590"/>
      <c r="B5" s="591"/>
      <c r="C5" s="591"/>
      <c r="D5" s="591"/>
      <c r="E5" s="591"/>
      <c r="F5" s="591"/>
      <c r="G5" s="591"/>
      <c r="H5" s="591"/>
      <c r="I5" s="591"/>
      <c r="J5" s="591"/>
      <c r="K5" s="591"/>
      <c r="L5" s="591"/>
      <c r="M5" s="591"/>
      <c r="N5" s="591"/>
      <c r="O5" s="591"/>
      <c r="P5" s="591"/>
      <c r="Q5" s="592"/>
    </row>
    <row r="6" spans="1:17" ht="21.95" customHeight="1">
      <c r="A6" s="590"/>
      <c r="B6" s="591"/>
      <c r="C6" s="591"/>
      <c r="D6" s="591"/>
      <c r="E6" s="591"/>
      <c r="F6" s="591"/>
      <c r="G6" s="591"/>
      <c r="H6" s="591"/>
      <c r="I6" s="591"/>
      <c r="J6" s="591"/>
      <c r="K6" s="591"/>
      <c r="L6" s="591"/>
      <c r="M6" s="591"/>
      <c r="N6" s="591"/>
      <c r="O6" s="591"/>
      <c r="P6" s="591"/>
      <c r="Q6" s="592"/>
    </row>
    <row r="7" spans="1:17" ht="21.95" customHeight="1">
      <c r="A7" s="590"/>
      <c r="B7" s="591"/>
      <c r="C7" s="591"/>
      <c r="D7" s="591"/>
      <c r="E7" s="591"/>
      <c r="F7" s="591"/>
      <c r="G7" s="591"/>
      <c r="H7" s="591"/>
      <c r="I7" s="591"/>
      <c r="J7" s="591"/>
      <c r="K7" s="591"/>
      <c r="L7" s="591"/>
      <c r="M7" s="591"/>
      <c r="N7" s="591"/>
      <c r="O7" s="591"/>
      <c r="P7" s="591"/>
      <c r="Q7" s="592"/>
    </row>
    <row r="8" spans="1:17" ht="21.95" customHeight="1">
      <c r="A8" s="590"/>
      <c r="B8" s="591"/>
      <c r="C8" s="591"/>
      <c r="D8" s="591"/>
      <c r="E8" s="591"/>
      <c r="F8" s="591"/>
      <c r="G8" s="591"/>
      <c r="H8" s="591"/>
      <c r="I8" s="591"/>
      <c r="J8" s="591"/>
      <c r="K8" s="591"/>
      <c r="L8" s="591"/>
      <c r="M8" s="591"/>
      <c r="N8" s="591"/>
      <c r="O8" s="591"/>
      <c r="P8" s="591"/>
      <c r="Q8" s="592"/>
    </row>
    <row r="9" spans="1:17" ht="21.95" customHeight="1">
      <c r="A9" s="590"/>
      <c r="B9" s="591"/>
      <c r="C9" s="591"/>
      <c r="D9" s="591"/>
      <c r="E9" s="591"/>
      <c r="F9" s="591"/>
      <c r="G9" s="591"/>
      <c r="H9" s="591"/>
      <c r="I9" s="591"/>
      <c r="J9" s="591"/>
      <c r="K9" s="591"/>
      <c r="L9" s="591"/>
      <c r="M9" s="591"/>
      <c r="N9" s="591"/>
      <c r="O9" s="591"/>
      <c r="P9" s="591"/>
      <c r="Q9" s="592"/>
    </row>
    <row r="10" spans="1:17" ht="21.95" customHeight="1">
      <c r="A10" s="590"/>
      <c r="B10" s="591"/>
      <c r="C10" s="591"/>
      <c r="D10" s="591"/>
      <c r="E10" s="591"/>
      <c r="F10" s="591"/>
      <c r="G10" s="591"/>
      <c r="H10" s="591"/>
      <c r="I10" s="591"/>
      <c r="J10" s="591"/>
      <c r="K10" s="591"/>
      <c r="L10" s="591"/>
      <c r="M10" s="591"/>
      <c r="N10" s="591"/>
      <c r="O10" s="591"/>
      <c r="P10" s="591"/>
      <c r="Q10" s="592"/>
    </row>
    <row r="11" spans="1:17" ht="21.95" customHeight="1">
      <c r="A11" s="590"/>
      <c r="B11" s="591"/>
      <c r="C11" s="591"/>
      <c r="D11" s="591"/>
      <c r="E11" s="591"/>
      <c r="F11" s="591"/>
      <c r="G11" s="591"/>
      <c r="H11" s="591"/>
      <c r="I11" s="591"/>
      <c r="J11" s="591"/>
      <c r="K11" s="591"/>
      <c r="L11" s="591"/>
      <c r="M11" s="591"/>
      <c r="N11" s="591"/>
      <c r="O11" s="591"/>
      <c r="P11" s="591"/>
      <c r="Q11" s="592"/>
    </row>
    <row r="12" spans="1:17" ht="21.95" customHeight="1">
      <c r="A12" s="590"/>
      <c r="B12" s="591"/>
      <c r="C12" s="591"/>
      <c r="D12" s="591"/>
      <c r="E12" s="591"/>
      <c r="F12" s="591"/>
      <c r="G12" s="591"/>
      <c r="H12" s="591"/>
      <c r="I12" s="591"/>
      <c r="J12" s="591"/>
      <c r="K12" s="591"/>
      <c r="L12" s="591"/>
      <c r="M12" s="591"/>
      <c r="N12" s="591"/>
      <c r="O12" s="591"/>
      <c r="P12" s="591"/>
      <c r="Q12" s="592"/>
    </row>
    <row r="13" spans="1:17" ht="21.95" customHeight="1">
      <c r="A13" s="590"/>
      <c r="B13" s="591"/>
      <c r="C13" s="591"/>
      <c r="D13" s="591"/>
      <c r="E13" s="591"/>
      <c r="F13" s="591"/>
      <c r="G13" s="591"/>
      <c r="H13" s="591"/>
      <c r="I13" s="591"/>
      <c r="J13" s="591"/>
      <c r="K13" s="591"/>
      <c r="L13" s="591"/>
      <c r="M13" s="591"/>
      <c r="N13" s="591"/>
      <c r="O13" s="591"/>
      <c r="P13" s="591"/>
      <c r="Q13" s="592"/>
    </row>
    <row r="14" spans="1:17" ht="21.95" customHeight="1">
      <c r="A14" s="590"/>
      <c r="B14" s="591"/>
      <c r="C14" s="591"/>
      <c r="D14" s="591"/>
      <c r="E14" s="591"/>
      <c r="F14" s="591"/>
      <c r="G14" s="591"/>
      <c r="H14" s="591"/>
      <c r="I14" s="591"/>
      <c r="J14" s="591"/>
      <c r="K14" s="591"/>
      <c r="L14" s="591"/>
      <c r="M14" s="591"/>
      <c r="N14" s="591"/>
      <c r="O14" s="591"/>
      <c r="P14" s="591"/>
      <c r="Q14" s="592"/>
    </row>
    <row r="15" spans="1:17" ht="21.95" customHeight="1">
      <c r="A15" s="590"/>
      <c r="B15" s="591"/>
      <c r="C15" s="591"/>
      <c r="D15" s="591"/>
      <c r="E15" s="591"/>
      <c r="F15" s="591"/>
      <c r="G15" s="591"/>
      <c r="H15" s="591"/>
      <c r="I15" s="591"/>
      <c r="J15" s="591"/>
      <c r="K15" s="591"/>
      <c r="L15" s="591"/>
      <c r="M15" s="591"/>
      <c r="N15" s="591"/>
      <c r="O15" s="591"/>
      <c r="P15" s="591"/>
      <c r="Q15" s="592"/>
    </row>
    <row r="16" spans="1:17" ht="21.95" customHeight="1">
      <c r="A16" s="590"/>
      <c r="B16" s="591"/>
      <c r="C16" s="591"/>
      <c r="D16" s="591"/>
      <c r="E16" s="591"/>
      <c r="F16" s="591"/>
      <c r="G16" s="591"/>
      <c r="H16" s="591"/>
      <c r="I16" s="591"/>
      <c r="J16" s="591"/>
      <c r="K16" s="591"/>
      <c r="L16" s="591"/>
      <c r="M16" s="591"/>
      <c r="N16" s="591"/>
      <c r="O16" s="591"/>
      <c r="P16" s="591"/>
      <c r="Q16" s="592"/>
    </row>
    <row r="17" spans="1:17" ht="21.95" customHeight="1">
      <c r="A17" s="590"/>
      <c r="B17" s="591"/>
      <c r="C17" s="591"/>
      <c r="D17" s="591"/>
      <c r="E17" s="591"/>
      <c r="F17" s="591"/>
      <c r="G17" s="591"/>
      <c r="H17" s="591"/>
      <c r="I17" s="591"/>
      <c r="J17" s="591"/>
      <c r="K17" s="591"/>
      <c r="L17" s="591"/>
      <c r="M17" s="591"/>
      <c r="N17" s="591"/>
      <c r="O17" s="591"/>
      <c r="P17" s="591"/>
      <c r="Q17" s="592"/>
    </row>
    <row r="18" spans="1:17" ht="21.95" customHeight="1">
      <c r="A18" s="590"/>
      <c r="B18" s="591"/>
      <c r="C18" s="591"/>
      <c r="D18" s="591"/>
      <c r="E18" s="591"/>
      <c r="F18" s="591"/>
      <c r="G18" s="591"/>
      <c r="H18" s="591"/>
      <c r="I18" s="591"/>
      <c r="J18" s="591"/>
      <c r="K18" s="591"/>
      <c r="L18" s="591"/>
      <c r="M18" s="591"/>
      <c r="N18" s="591"/>
      <c r="O18" s="591"/>
      <c r="P18" s="591"/>
      <c r="Q18" s="592"/>
    </row>
    <row r="19" spans="1:17" ht="21.95" customHeight="1">
      <c r="A19" s="593"/>
      <c r="B19" s="594"/>
      <c r="C19" s="594"/>
      <c r="D19" s="594"/>
      <c r="E19" s="594"/>
      <c r="F19" s="594"/>
      <c r="G19" s="594"/>
      <c r="H19" s="594"/>
      <c r="I19" s="594"/>
      <c r="J19" s="594"/>
      <c r="K19" s="594"/>
      <c r="L19" s="594"/>
      <c r="M19" s="594"/>
      <c r="N19" s="594"/>
      <c r="O19" s="594"/>
      <c r="P19" s="594"/>
      <c r="Q19" s="595"/>
    </row>
  </sheetData>
  <mergeCells count="2">
    <mergeCell ref="A1:Q1"/>
    <mergeCell ref="A2:Q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38A80-F8C7-41DE-B8E1-EC63D4EDC7C7}">
  <sheetPr>
    <tabColor rgb="FF2F5597"/>
  </sheetPr>
  <dimension ref="A1:R24"/>
  <sheetViews>
    <sheetView workbookViewId="0">
      <selection sqref="A1:R1"/>
    </sheetView>
  </sheetViews>
  <sheetFormatPr defaultRowHeight="15"/>
  <cols>
    <col min="1" max="1" width="5.28515625" customWidth="1"/>
    <col min="2" max="2" width="19" customWidth="1"/>
    <col min="3" max="4" width="6.85546875" customWidth="1"/>
    <col min="5" max="5" width="9.5703125" customWidth="1"/>
    <col min="6" max="6" width="15.28515625" customWidth="1"/>
    <col min="7" max="7" width="5.28515625" customWidth="1"/>
    <col min="8" max="8" width="7.5703125" customWidth="1"/>
    <col min="9" max="9" width="9.5703125" customWidth="1"/>
    <col min="10" max="10" width="8.42578125" customWidth="1"/>
    <col min="11" max="11" width="8" customWidth="1"/>
    <col min="12" max="12" width="5.28515625" customWidth="1"/>
    <col min="13" max="13" width="6.140625" customWidth="1"/>
    <col min="14" max="14" width="15.28515625" customWidth="1"/>
    <col min="15" max="15" width="8.42578125" customWidth="1"/>
    <col min="16" max="17" width="11.42578125" customWidth="1"/>
    <col min="18" max="18" width="6.85546875" customWidth="1"/>
  </cols>
  <sheetData>
    <row r="1" spans="1:18" ht="32.1" customHeight="1">
      <c r="A1" s="583" t="s">
        <v>4127</v>
      </c>
      <c r="B1" s="583"/>
      <c r="C1" s="583"/>
      <c r="D1" s="583"/>
      <c r="E1" s="583"/>
      <c r="F1" s="583"/>
      <c r="G1" s="583"/>
      <c r="H1" s="583"/>
      <c r="I1" s="583"/>
      <c r="J1" s="583"/>
      <c r="K1" s="583"/>
      <c r="L1" s="583"/>
      <c r="M1" s="583"/>
      <c r="N1" s="583"/>
      <c r="O1" s="583"/>
      <c r="P1" s="583"/>
      <c r="Q1" s="583"/>
      <c r="R1" s="583"/>
    </row>
    <row r="2" spans="1:18" ht="21.95" customHeight="1">
      <c r="A2" s="584" t="s">
        <v>4128</v>
      </c>
      <c r="B2" s="584"/>
      <c r="C2" s="584"/>
      <c r="D2" s="584"/>
      <c r="E2" s="584"/>
      <c r="F2" s="584"/>
      <c r="G2" s="584"/>
      <c r="H2" s="584"/>
      <c r="I2" s="584"/>
      <c r="J2" s="584"/>
      <c r="K2" s="584"/>
      <c r="L2" s="584"/>
      <c r="M2" s="584"/>
      <c r="N2" s="584"/>
      <c r="O2" s="584"/>
      <c r="P2" s="584"/>
      <c r="Q2" s="584"/>
      <c r="R2" s="584"/>
    </row>
    <row r="3" spans="1:18" ht="30" customHeight="1">
      <c r="A3" s="430" t="s">
        <v>2074</v>
      </c>
      <c r="B3" s="431" t="s">
        <v>2075</v>
      </c>
      <c r="C3" s="431" t="s">
        <v>2076</v>
      </c>
      <c r="D3" s="431" t="s">
        <v>2077</v>
      </c>
      <c r="E3" s="431" t="s">
        <v>4129</v>
      </c>
      <c r="F3" s="431" t="s">
        <v>2079</v>
      </c>
      <c r="G3" s="431" t="s">
        <v>2080</v>
      </c>
      <c r="H3" s="431" t="s">
        <v>17</v>
      </c>
      <c r="I3" s="431" t="s">
        <v>825</v>
      </c>
      <c r="J3" s="431" t="s">
        <v>699</v>
      </c>
      <c r="K3" s="431" t="s">
        <v>2081</v>
      </c>
      <c r="L3" s="431" t="s">
        <v>2082</v>
      </c>
      <c r="M3" s="431" t="s">
        <v>2083</v>
      </c>
      <c r="N3" s="431" t="s">
        <v>2084</v>
      </c>
      <c r="O3" s="431" t="s">
        <v>2085</v>
      </c>
      <c r="P3" s="431" t="s">
        <v>2086</v>
      </c>
      <c r="Q3" s="431" t="s">
        <v>4130</v>
      </c>
      <c r="R3" s="586" t="s">
        <v>2088</v>
      </c>
    </row>
    <row r="4" spans="1:18" ht="44.1" customHeight="1">
      <c r="A4" s="587" t="s">
        <v>4131</v>
      </c>
      <c r="B4" s="588" t="s">
        <v>4132</v>
      </c>
      <c r="C4" s="588" t="s">
        <v>4133</v>
      </c>
      <c r="D4" s="588" t="s">
        <v>4134</v>
      </c>
      <c r="E4" s="588" t="s">
        <v>4135</v>
      </c>
      <c r="F4" s="588" t="s">
        <v>4136</v>
      </c>
      <c r="G4" s="588" t="s">
        <v>4137</v>
      </c>
      <c r="H4" s="588" t="s">
        <v>4138</v>
      </c>
      <c r="I4" s="588" t="s">
        <v>4139</v>
      </c>
      <c r="J4" s="588" t="s">
        <v>4140</v>
      </c>
      <c r="K4" s="588" t="s">
        <v>4141</v>
      </c>
      <c r="L4" s="588" t="s">
        <v>4044</v>
      </c>
      <c r="M4" s="588" t="s">
        <v>4142</v>
      </c>
      <c r="N4" s="588" t="s">
        <v>4143</v>
      </c>
      <c r="O4" s="588" t="s">
        <v>4144</v>
      </c>
      <c r="P4" s="588" t="s">
        <v>4145</v>
      </c>
      <c r="Q4" s="588" t="s">
        <v>4146</v>
      </c>
      <c r="R4" s="589" t="s">
        <v>4147</v>
      </c>
    </row>
    <row r="5" spans="1:18" ht="21.95" customHeight="1">
      <c r="A5" s="590"/>
      <c r="B5" s="591"/>
      <c r="C5" s="591"/>
      <c r="D5" s="591"/>
      <c r="E5" s="591"/>
      <c r="F5" s="591"/>
      <c r="G5" s="591"/>
      <c r="H5" s="591"/>
      <c r="I5" s="591"/>
      <c r="J5" s="591"/>
      <c r="K5" s="591"/>
      <c r="L5" s="591"/>
      <c r="M5" s="591"/>
      <c r="N5" s="591"/>
      <c r="O5" s="591"/>
      <c r="P5" s="591"/>
      <c r="Q5" s="591"/>
      <c r="R5" s="592"/>
    </row>
    <row r="6" spans="1:18" ht="21.95" customHeight="1">
      <c r="A6" s="590"/>
      <c r="B6" s="591"/>
      <c r="C6" s="591"/>
      <c r="D6" s="591"/>
      <c r="E6" s="591"/>
      <c r="F6" s="591"/>
      <c r="G6" s="591"/>
      <c r="H6" s="591"/>
      <c r="I6" s="591"/>
      <c r="J6" s="591"/>
      <c r="K6" s="591"/>
      <c r="L6" s="591"/>
      <c r="M6" s="591"/>
      <c r="N6" s="591"/>
      <c r="O6" s="591"/>
      <c r="P6" s="591"/>
      <c r="Q6" s="591"/>
      <c r="R6" s="592"/>
    </row>
    <row r="7" spans="1:18" ht="21.95" customHeight="1">
      <c r="A7" s="590"/>
      <c r="B7" s="591"/>
      <c r="C7" s="591"/>
      <c r="D7" s="591"/>
      <c r="E7" s="591"/>
      <c r="F7" s="591"/>
      <c r="G7" s="591"/>
      <c r="H7" s="591"/>
      <c r="I7" s="591"/>
      <c r="J7" s="591"/>
      <c r="K7" s="591"/>
      <c r="L7" s="591"/>
      <c r="M7" s="591"/>
      <c r="N7" s="591"/>
      <c r="O7" s="591"/>
      <c r="P7" s="591"/>
      <c r="Q7" s="591"/>
      <c r="R7" s="592"/>
    </row>
    <row r="8" spans="1:18" ht="21.95" customHeight="1">
      <c r="A8" s="590"/>
      <c r="B8" s="591"/>
      <c r="C8" s="591"/>
      <c r="D8" s="591"/>
      <c r="E8" s="591"/>
      <c r="F8" s="591"/>
      <c r="G8" s="591"/>
      <c r="H8" s="591"/>
      <c r="I8" s="591"/>
      <c r="J8" s="591"/>
      <c r="K8" s="591"/>
      <c r="L8" s="591"/>
      <c r="M8" s="591"/>
      <c r="N8" s="591"/>
      <c r="O8" s="591"/>
      <c r="P8" s="591"/>
      <c r="Q8" s="591"/>
      <c r="R8" s="592"/>
    </row>
    <row r="9" spans="1:18" ht="21.95" customHeight="1">
      <c r="A9" s="590"/>
      <c r="B9" s="591"/>
      <c r="C9" s="591"/>
      <c r="D9" s="591"/>
      <c r="E9" s="591"/>
      <c r="F9" s="591"/>
      <c r="G9" s="591"/>
      <c r="H9" s="591"/>
      <c r="I9" s="591"/>
      <c r="J9" s="591"/>
      <c r="K9" s="591"/>
      <c r="L9" s="591"/>
      <c r="M9" s="591"/>
      <c r="N9" s="591"/>
      <c r="O9" s="591"/>
      <c r="P9" s="591"/>
      <c r="Q9" s="591"/>
      <c r="R9" s="592"/>
    </row>
    <row r="10" spans="1:18" ht="21.95" customHeight="1">
      <c r="A10" s="590"/>
      <c r="B10" s="591"/>
      <c r="C10" s="591"/>
      <c r="D10" s="591"/>
      <c r="E10" s="591"/>
      <c r="F10" s="591"/>
      <c r="G10" s="591"/>
      <c r="H10" s="591"/>
      <c r="I10" s="591"/>
      <c r="J10" s="591"/>
      <c r="K10" s="591"/>
      <c r="L10" s="591"/>
      <c r="M10" s="591"/>
      <c r="N10" s="591"/>
      <c r="O10" s="591"/>
      <c r="P10" s="591"/>
      <c r="Q10" s="591"/>
      <c r="R10" s="592"/>
    </row>
    <row r="11" spans="1:18" ht="21.95" customHeight="1">
      <c r="A11" s="590"/>
      <c r="B11" s="591"/>
      <c r="C11" s="591"/>
      <c r="D11" s="591"/>
      <c r="E11" s="591"/>
      <c r="F11" s="591"/>
      <c r="G11" s="591"/>
      <c r="H11" s="591"/>
      <c r="I11" s="591"/>
      <c r="J11" s="591"/>
      <c r="K11" s="591"/>
      <c r="L11" s="591"/>
      <c r="M11" s="591"/>
      <c r="N11" s="591"/>
      <c r="O11" s="591"/>
      <c r="P11" s="591"/>
      <c r="Q11" s="591"/>
      <c r="R11" s="592"/>
    </row>
    <row r="12" spans="1:18" ht="21.95" customHeight="1">
      <c r="A12" s="590"/>
      <c r="B12" s="591"/>
      <c r="C12" s="591"/>
      <c r="D12" s="591"/>
      <c r="E12" s="591"/>
      <c r="F12" s="591"/>
      <c r="G12" s="591"/>
      <c r="H12" s="591"/>
      <c r="I12" s="591"/>
      <c r="J12" s="591"/>
      <c r="K12" s="591"/>
      <c r="L12" s="591"/>
      <c r="M12" s="591"/>
      <c r="N12" s="591"/>
      <c r="O12" s="591"/>
      <c r="P12" s="591"/>
      <c r="Q12" s="591"/>
      <c r="R12" s="592"/>
    </row>
    <row r="13" spans="1:18" ht="21.95" customHeight="1">
      <c r="A13" s="590"/>
      <c r="B13" s="591"/>
      <c r="C13" s="591"/>
      <c r="D13" s="591"/>
      <c r="E13" s="591"/>
      <c r="F13" s="591"/>
      <c r="G13" s="591"/>
      <c r="H13" s="591"/>
      <c r="I13" s="591"/>
      <c r="J13" s="591"/>
      <c r="K13" s="591"/>
      <c r="L13" s="591"/>
      <c r="M13" s="591"/>
      <c r="N13" s="591"/>
      <c r="O13" s="591"/>
      <c r="P13" s="591"/>
      <c r="Q13" s="591"/>
      <c r="R13" s="592"/>
    </row>
    <row r="14" spans="1:18" ht="21.95" customHeight="1">
      <c r="A14" s="590"/>
      <c r="B14" s="591"/>
      <c r="C14" s="591"/>
      <c r="D14" s="591"/>
      <c r="E14" s="591"/>
      <c r="F14" s="591"/>
      <c r="G14" s="591"/>
      <c r="H14" s="591"/>
      <c r="I14" s="591"/>
      <c r="J14" s="591"/>
      <c r="K14" s="591"/>
      <c r="L14" s="591"/>
      <c r="M14" s="591"/>
      <c r="N14" s="591"/>
      <c r="O14" s="591"/>
      <c r="P14" s="591"/>
      <c r="Q14" s="591"/>
      <c r="R14" s="592"/>
    </row>
    <row r="15" spans="1:18" ht="21.95" customHeight="1">
      <c r="A15" s="590"/>
      <c r="B15" s="591"/>
      <c r="C15" s="591"/>
      <c r="D15" s="591"/>
      <c r="E15" s="591"/>
      <c r="F15" s="591"/>
      <c r="G15" s="591"/>
      <c r="H15" s="591"/>
      <c r="I15" s="591"/>
      <c r="J15" s="591"/>
      <c r="K15" s="591"/>
      <c r="L15" s="591"/>
      <c r="M15" s="591"/>
      <c r="N15" s="591"/>
      <c r="O15" s="591"/>
      <c r="P15" s="591"/>
      <c r="Q15" s="591"/>
      <c r="R15" s="592"/>
    </row>
    <row r="16" spans="1:18" ht="21.95" customHeight="1">
      <c r="A16" s="590"/>
      <c r="B16" s="591"/>
      <c r="C16" s="591"/>
      <c r="D16" s="591"/>
      <c r="E16" s="591"/>
      <c r="F16" s="591"/>
      <c r="G16" s="591"/>
      <c r="H16" s="591"/>
      <c r="I16" s="591"/>
      <c r="J16" s="591"/>
      <c r="K16" s="591"/>
      <c r="L16" s="591"/>
      <c r="M16" s="591"/>
      <c r="N16" s="591"/>
      <c r="O16" s="591"/>
      <c r="P16" s="591"/>
      <c r="Q16" s="591"/>
      <c r="R16" s="592"/>
    </row>
    <row r="17" spans="1:18" ht="21.95" customHeight="1">
      <c r="A17" s="590"/>
      <c r="B17" s="591"/>
      <c r="C17" s="591"/>
      <c r="D17" s="591"/>
      <c r="E17" s="591"/>
      <c r="F17" s="591"/>
      <c r="G17" s="591"/>
      <c r="H17" s="591"/>
      <c r="I17" s="591"/>
      <c r="J17" s="591"/>
      <c r="K17" s="591"/>
      <c r="L17" s="591"/>
      <c r="M17" s="591"/>
      <c r="N17" s="591"/>
      <c r="O17" s="591"/>
      <c r="P17" s="591"/>
      <c r="Q17" s="591"/>
      <c r="R17" s="592"/>
    </row>
    <row r="18" spans="1:18" ht="21.95" customHeight="1">
      <c r="A18" s="590"/>
      <c r="B18" s="591"/>
      <c r="C18" s="591"/>
      <c r="D18" s="591"/>
      <c r="E18" s="591"/>
      <c r="F18" s="591"/>
      <c r="G18" s="591"/>
      <c r="H18" s="591"/>
      <c r="I18" s="591"/>
      <c r="J18" s="591"/>
      <c r="K18" s="591"/>
      <c r="L18" s="591"/>
      <c r="M18" s="591"/>
      <c r="N18" s="591"/>
      <c r="O18" s="591"/>
      <c r="P18" s="591"/>
      <c r="Q18" s="591"/>
      <c r="R18" s="592"/>
    </row>
    <row r="19" spans="1:18" ht="21.95" customHeight="1">
      <c r="A19" s="590"/>
      <c r="B19" s="591"/>
      <c r="C19" s="591"/>
      <c r="D19" s="591"/>
      <c r="E19" s="591"/>
      <c r="F19" s="591"/>
      <c r="G19" s="591"/>
      <c r="H19" s="591"/>
      <c r="I19" s="591"/>
      <c r="J19" s="591"/>
      <c r="K19" s="591"/>
      <c r="L19" s="591"/>
      <c r="M19" s="591"/>
      <c r="N19" s="591"/>
      <c r="O19" s="591"/>
      <c r="P19" s="591"/>
      <c r="Q19" s="591"/>
      <c r="R19" s="592"/>
    </row>
    <row r="20" spans="1:18" ht="21.95" customHeight="1">
      <c r="A20" s="590"/>
      <c r="B20" s="591"/>
      <c r="C20" s="591"/>
      <c r="D20" s="591"/>
      <c r="E20" s="591"/>
      <c r="F20" s="591"/>
      <c r="G20" s="591"/>
      <c r="H20" s="591"/>
      <c r="I20" s="591"/>
      <c r="J20" s="591"/>
      <c r="K20" s="591"/>
      <c r="L20" s="591"/>
      <c r="M20" s="591"/>
      <c r="N20" s="591"/>
      <c r="O20" s="591"/>
      <c r="P20" s="591"/>
      <c r="Q20" s="591"/>
      <c r="R20" s="592"/>
    </row>
    <row r="21" spans="1:18" ht="21.95" customHeight="1">
      <c r="A21" s="590"/>
      <c r="B21" s="591"/>
      <c r="C21" s="591"/>
      <c r="D21" s="591"/>
      <c r="E21" s="591"/>
      <c r="F21" s="591"/>
      <c r="G21" s="591"/>
      <c r="H21" s="591"/>
      <c r="I21" s="591"/>
      <c r="J21" s="591"/>
      <c r="K21" s="591"/>
      <c r="L21" s="591"/>
      <c r="M21" s="591"/>
      <c r="N21" s="591"/>
      <c r="O21" s="591"/>
      <c r="P21" s="591"/>
      <c r="Q21" s="591"/>
      <c r="R21" s="592"/>
    </row>
    <row r="22" spans="1:18" ht="21.95" customHeight="1">
      <c r="A22" s="590"/>
      <c r="B22" s="591"/>
      <c r="C22" s="591"/>
      <c r="D22" s="591"/>
      <c r="E22" s="591"/>
      <c r="F22" s="591"/>
      <c r="G22" s="591"/>
      <c r="H22" s="591"/>
      <c r="I22" s="591"/>
      <c r="J22" s="591"/>
      <c r="K22" s="591"/>
      <c r="L22" s="591"/>
      <c r="M22" s="591"/>
      <c r="N22" s="591"/>
      <c r="O22" s="591"/>
      <c r="P22" s="591"/>
      <c r="Q22" s="591"/>
      <c r="R22" s="592"/>
    </row>
    <row r="23" spans="1:18" ht="21.95" customHeight="1">
      <c r="A23" s="590"/>
      <c r="B23" s="591"/>
      <c r="C23" s="591"/>
      <c r="D23" s="591"/>
      <c r="E23" s="591"/>
      <c r="F23" s="591"/>
      <c r="G23" s="591"/>
      <c r="H23" s="591"/>
      <c r="I23" s="591"/>
      <c r="J23" s="591"/>
      <c r="K23" s="591"/>
      <c r="L23" s="591"/>
      <c r="M23" s="591"/>
      <c r="N23" s="591"/>
      <c r="O23" s="591"/>
      <c r="P23" s="591"/>
      <c r="Q23" s="591"/>
      <c r="R23" s="592"/>
    </row>
    <row r="24" spans="1:18" ht="21.95" customHeight="1">
      <c r="A24" s="593"/>
      <c r="B24" s="594"/>
      <c r="C24" s="594"/>
      <c r="D24" s="594"/>
      <c r="E24" s="594"/>
      <c r="F24" s="594"/>
      <c r="G24" s="594"/>
      <c r="H24" s="594"/>
      <c r="I24" s="594"/>
      <c r="J24" s="594"/>
      <c r="K24" s="594"/>
      <c r="L24" s="594"/>
      <c r="M24" s="594"/>
      <c r="N24" s="594"/>
      <c r="O24" s="594"/>
      <c r="P24" s="594"/>
      <c r="Q24" s="594"/>
      <c r="R24" s="595"/>
    </row>
  </sheetData>
  <mergeCells count="2">
    <mergeCell ref="A1:R1"/>
    <mergeCell ref="A2:R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F73F-B35B-4A91-82CE-B4675C3F8539}">
  <sheetPr>
    <tabColor rgb="FF2F5597"/>
  </sheetPr>
  <dimension ref="A1:M19"/>
  <sheetViews>
    <sheetView workbookViewId="0">
      <selection sqref="A1:M1"/>
    </sheetView>
  </sheetViews>
  <sheetFormatPr defaultRowHeight="15"/>
  <cols>
    <col min="1" max="1" width="5.28515625" customWidth="1"/>
    <col min="2" max="2" width="11.42578125" customWidth="1"/>
    <col min="3" max="3" width="7.5703125" customWidth="1"/>
    <col min="4" max="4" width="19" customWidth="1"/>
    <col min="5" max="6" width="7.5703125" customWidth="1"/>
    <col min="7" max="7" width="8.42578125" customWidth="1"/>
    <col min="8" max="8" width="9.5703125" customWidth="1"/>
    <col min="9" max="9" width="8.42578125" customWidth="1"/>
    <col min="10" max="10" width="6.85546875" customWidth="1"/>
    <col min="11" max="12" width="13.28515625" customWidth="1"/>
    <col min="13" max="13" width="11.42578125" customWidth="1"/>
  </cols>
  <sheetData>
    <row r="1" spans="1:13" ht="32.1" customHeight="1">
      <c r="A1" s="583" t="s">
        <v>4148</v>
      </c>
      <c r="B1" s="583"/>
      <c r="C1" s="583"/>
      <c r="D1" s="583"/>
      <c r="E1" s="583"/>
      <c r="F1" s="583"/>
      <c r="G1" s="583"/>
      <c r="H1" s="583"/>
      <c r="I1" s="583"/>
      <c r="J1" s="583"/>
      <c r="K1" s="583"/>
      <c r="L1" s="583"/>
      <c r="M1" s="583"/>
    </row>
    <row r="2" spans="1:13" ht="21.95" customHeight="1">
      <c r="A2" s="584" t="s">
        <v>4149</v>
      </c>
      <c r="B2" s="584"/>
      <c r="C2" s="584"/>
      <c r="D2" s="584"/>
      <c r="E2" s="584"/>
      <c r="F2" s="584"/>
      <c r="G2" s="584"/>
      <c r="H2" s="584"/>
      <c r="I2" s="584"/>
      <c r="J2" s="584"/>
      <c r="K2" s="584"/>
      <c r="L2" s="584"/>
      <c r="M2" s="584"/>
    </row>
    <row r="3" spans="1:13" ht="30" customHeight="1">
      <c r="A3" s="430" t="s">
        <v>1022</v>
      </c>
      <c r="B3" s="431" t="s">
        <v>1476</v>
      </c>
      <c r="C3" s="431" t="s">
        <v>1477</v>
      </c>
      <c r="D3" s="431" t="s">
        <v>410</v>
      </c>
      <c r="E3" s="431" t="s">
        <v>1478</v>
      </c>
      <c r="F3" s="431" t="s">
        <v>1479</v>
      </c>
      <c r="G3" s="431" t="s">
        <v>1480</v>
      </c>
      <c r="H3" s="431" t="s">
        <v>825</v>
      </c>
      <c r="I3" s="431" t="s">
        <v>643</v>
      </c>
      <c r="J3" s="431" t="s">
        <v>1481</v>
      </c>
      <c r="K3" s="431" t="s">
        <v>1482</v>
      </c>
      <c r="L3" s="431" t="s">
        <v>1483</v>
      </c>
      <c r="M3" s="586" t="s">
        <v>1484</v>
      </c>
    </row>
    <row r="4" spans="1:13" ht="44.1" customHeight="1">
      <c r="A4" s="587" t="s">
        <v>4150</v>
      </c>
      <c r="B4" s="588" t="s">
        <v>4151</v>
      </c>
      <c r="C4" s="588" t="s">
        <v>4152</v>
      </c>
      <c r="D4" s="588" t="s">
        <v>4153</v>
      </c>
      <c r="E4" s="588" t="s">
        <v>4154</v>
      </c>
      <c r="F4" s="588" t="s">
        <v>4155</v>
      </c>
      <c r="G4" s="588" t="s">
        <v>4156</v>
      </c>
      <c r="H4" s="588" t="s">
        <v>4054</v>
      </c>
      <c r="I4" s="588" t="s">
        <v>4157</v>
      </c>
      <c r="J4" s="588" t="s">
        <v>4039</v>
      </c>
      <c r="K4" s="588" t="s">
        <v>4158</v>
      </c>
      <c r="L4" s="588" t="s">
        <v>4159</v>
      </c>
      <c r="M4" s="589" t="s">
        <v>4160</v>
      </c>
    </row>
    <row r="5" spans="1:13" ht="21.95" customHeight="1">
      <c r="A5" s="590"/>
      <c r="B5" s="591"/>
      <c r="C5" s="591"/>
      <c r="D5" s="591"/>
      <c r="E5" s="591"/>
      <c r="F5" s="591"/>
      <c r="G5" s="591"/>
      <c r="H5" s="591"/>
      <c r="I5" s="591"/>
      <c r="J5" s="591"/>
      <c r="K5" s="591"/>
      <c r="L5" s="591"/>
      <c r="M5" s="592"/>
    </row>
    <row r="6" spans="1:13" ht="21.95" customHeight="1">
      <c r="A6" s="590"/>
      <c r="B6" s="591"/>
      <c r="C6" s="591"/>
      <c r="D6" s="591"/>
      <c r="E6" s="591"/>
      <c r="F6" s="591"/>
      <c r="G6" s="591"/>
      <c r="H6" s="591"/>
      <c r="I6" s="591"/>
      <c r="J6" s="591"/>
      <c r="K6" s="591"/>
      <c r="L6" s="591"/>
      <c r="M6" s="592"/>
    </row>
    <row r="7" spans="1:13" ht="21.95" customHeight="1">
      <c r="A7" s="590"/>
      <c r="B7" s="591"/>
      <c r="C7" s="591"/>
      <c r="D7" s="591"/>
      <c r="E7" s="591"/>
      <c r="F7" s="591"/>
      <c r="G7" s="591"/>
      <c r="H7" s="591"/>
      <c r="I7" s="591"/>
      <c r="J7" s="591"/>
      <c r="K7" s="591"/>
      <c r="L7" s="591"/>
      <c r="M7" s="592"/>
    </row>
    <row r="8" spans="1:13" ht="21.95" customHeight="1">
      <c r="A8" s="590"/>
      <c r="B8" s="591"/>
      <c r="C8" s="591"/>
      <c r="D8" s="591"/>
      <c r="E8" s="591"/>
      <c r="F8" s="591"/>
      <c r="G8" s="591"/>
      <c r="H8" s="591"/>
      <c r="I8" s="591"/>
      <c r="J8" s="591"/>
      <c r="K8" s="591"/>
      <c r="L8" s="591"/>
      <c r="M8" s="592"/>
    </row>
    <row r="9" spans="1:13" ht="21.95" customHeight="1">
      <c r="A9" s="590"/>
      <c r="B9" s="591"/>
      <c r="C9" s="591"/>
      <c r="D9" s="591"/>
      <c r="E9" s="591"/>
      <c r="F9" s="591"/>
      <c r="G9" s="591"/>
      <c r="H9" s="591"/>
      <c r="I9" s="591"/>
      <c r="J9" s="591"/>
      <c r="K9" s="591"/>
      <c r="L9" s="591"/>
      <c r="M9" s="592"/>
    </row>
    <row r="10" spans="1:13" ht="21.95" customHeight="1">
      <c r="A10" s="590"/>
      <c r="B10" s="591"/>
      <c r="C10" s="591"/>
      <c r="D10" s="591"/>
      <c r="E10" s="591"/>
      <c r="F10" s="591"/>
      <c r="G10" s="591"/>
      <c r="H10" s="591"/>
      <c r="I10" s="591"/>
      <c r="J10" s="591"/>
      <c r="K10" s="591"/>
      <c r="L10" s="591"/>
      <c r="M10" s="592"/>
    </row>
    <row r="11" spans="1:13" ht="21.95" customHeight="1">
      <c r="A11" s="590"/>
      <c r="B11" s="591"/>
      <c r="C11" s="591"/>
      <c r="D11" s="591"/>
      <c r="E11" s="591"/>
      <c r="F11" s="591"/>
      <c r="G11" s="591"/>
      <c r="H11" s="591"/>
      <c r="I11" s="591"/>
      <c r="J11" s="591"/>
      <c r="K11" s="591"/>
      <c r="L11" s="591"/>
      <c r="M11" s="592"/>
    </row>
    <row r="12" spans="1:13" ht="21.95" customHeight="1">
      <c r="A12" s="590"/>
      <c r="B12" s="591"/>
      <c r="C12" s="591"/>
      <c r="D12" s="591"/>
      <c r="E12" s="591"/>
      <c r="F12" s="591"/>
      <c r="G12" s="591"/>
      <c r="H12" s="591"/>
      <c r="I12" s="591"/>
      <c r="J12" s="591"/>
      <c r="K12" s="591"/>
      <c r="L12" s="591"/>
      <c r="M12" s="592"/>
    </row>
    <row r="13" spans="1:13" ht="21.95" customHeight="1">
      <c r="A13" s="590"/>
      <c r="B13" s="591"/>
      <c r="C13" s="591"/>
      <c r="D13" s="591"/>
      <c r="E13" s="591"/>
      <c r="F13" s="591"/>
      <c r="G13" s="591"/>
      <c r="H13" s="591"/>
      <c r="I13" s="591"/>
      <c r="J13" s="591"/>
      <c r="K13" s="591"/>
      <c r="L13" s="591"/>
      <c r="M13" s="592"/>
    </row>
    <row r="14" spans="1:13" ht="21.95" customHeight="1">
      <c r="A14" s="590"/>
      <c r="B14" s="591"/>
      <c r="C14" s="591"/>
      <c r="D14" s="591"/>
      <c r="E14" s="591"/>
      <c r="F14" s="591"/>
      <c r="G14" s="591"/>
      <c r="H14" s="591"/>
      <c r="I14" s="591"/>
      <c r="J14" s="591"/>
      <c r="K14" s="591"/>
      <c r="L14" s="591"/>
      <c r="M14" s="592"/>
    </row>
    <row r="15" spans="1:13" ht="21.95" customHeight="1">
      <c r="A15" s="590"/>
      <c r="B15" s="591"/>
      <c r="C15" s="591"/>
      <c r="D15" s="591"/>
      <c r="E15" s="591"/>
      <c r="F15" s="591"/>
      <c r="G15" s="591"/>
      <c r="H15" s="591"/>
      <c r="I15" s="591"/>
      <c r="J15" s="591"/>
      <c r="K15" s="591"/>
      <c r="L15" s="591"/>
      <c r="M15" s="592"/>
    </row>
    <row r="16" spans="1:13" ht="21.95" customHeight="1">
      <c r="A16" s="590"/>
      <c r="B16" s="591"/>
      <c r="C16" s="591"/>
      <c r="D16" s="591"/>
      <c r="E16" s="591"/>
      <c r="F16" s="591"/>
      <c r="G16" s="591"/>
      <c r="H16" s="591"/>
      <c r="I16" s="591"/>
      <c r="J16" s="591"/>
      <c r="K16" s="591"/>
      <c r="L16" s="591"/>
      <c r="M16" s="592"/>
    </row>
    <row r="17" spans="1:13" ht="21.95" customHeight="1">
      <c r="A17" s="590"/>
      <c r="B17" s="591"/>
      <c r="C17" s="591"/>
      <c r="D17" s="591"/>
      <c r="E17" s="591"/>
      <c r="F17" s="591"/>
      <c r="G17" s="591"/>
      <c r="H17" s="591"/>
      <c r="I17" s="591"/>
      <c r="J17" s="591"/>
      <c r="K17" s="591"/>
      <c r="L17" s="591"/>
      <c r="M17" s="592"/>
    </row>
    <row r="18" spans="1:13" ht="21.95" customHeight="1">
      <c r="A18" s="590"/>
      <c r="B18" s="591"/>
      <c r="C18" s="591"/>
      <c r="D18" s="591"/>
      <c r="E18" s="591"/>
      <c r="F18" s="591"/>
      <c r="G18" s="591"/>
      <c r="H18" s="591"/>
      <c r="I18" s="591"/>
      <c r="J18" s="591"/>
      <c r="K18" s="591"/>
      <c r="L18" s="591"/>
      <c r="M18" s="592"/>
    </row>
    <row r="19" spans="1:13" ht="21.95" customHeight="1">
      <c r="A19" s="593"/>
      <c r="B19" s="594"/>
      <c r="C19" s="594"/>
      <c r="D19" s="594"/>
      <c r="E19" s="594"/>
      <c r="F19" s="594"/>
      <c r="G19" s="594"/>
      <c r="H19" s="594"/>
      <c r="I19" s="594"/>
      <c r="J19" s="594"/>
      <c r="K19" s="594"/>
      <c r="L19" s="594"/>
      <c r="M19" s="595"/>
    </row>
  </sheetData>
  <mergeCells count="2">
    <mergeCell ref="A1:M1"/>
    <mergeCell ref="A2:M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5812-CCCE-435B-8CBA-A9B616AF65CB}">
  <sheetPr>
    <tabColor rgb="FF2F5597"/>
  </sheetPr>
  <dimension ref="A1:J19"/>
  <sheetViews>
    <sheetView workbookViewId="0">
      <selection sqref="A1:J1"/>
    </sheetView>
  </sheetViews>
  <sheetFormatPr defaultRowHeight="15"/>
  <cols>
    <col min="1" max="1" width="5.28515625" customWidth="1"/>
    <col min="2" max="2" width="11.42578125" customWidth="1"/>
    <col min="3" max="3" width="7.5703125" customWidth="1"/>
    <col min="4" max="4" width="8.42578125" customWidth="1"/>
    <col min="5" max="6" width="9.5703125" customWidth="1"/>
    <col min="7" max="7" width="11.42578125" customWidth="1"/>
    <col min="8" max="9" width="9.5703125" customWidth="1"/>
    <col min="10" max="10" width="6.42578125" customWidth="1"/>
  </cols>
  <sheetData>
    <row r="1" spans="1:10" ht="32.1" customHeight="1">
      <c r="A1" s="583" t="s">
        <v>4161</v>
      </c>
      <c r="B1" s="583"/>
      <c r="C1" s="583"/>
      <c r="D1" s="583"/>
      <c r="E1" s="583"/>
      <c r="F1" s="583"/>
      <c r="G1" s="583"/>
      <c r="H1" s="583"/>
      <c r="I1" s="583"/>
      <c r="J1" s="583"/>
    </row>
    <row r="2" spans="1:10" ht="21.95" customHeight="1">
      <c r="A2" s="584" t="s">
        <v>4162</v>
      </c>
      <c r="B2" s="584"/>
      <c r="C2" s="584"/>
      <c r="D2" s="584"/>
      <c r="E2" s="584"/>
      <c r="F2" s="584"/>
      <c r="G2" s="584"/>
      <c r="H2" s="584"/>
      <c r="I2" s="584"/>
      <c r="J2" s="584"/>
    </row>
    <row r="3" spans="1:10" ht="30" customHeight="1">
      <c r="A3" s="430" t="s">
        <v>1022</v>
      </c>
      <c r="B3" s="431" t="s">
        <v>1476</v>
      </c>
      <c r="C3" s="431" t="s">
        <v>1579</v>
      </c>
      <c r="D3" s="431" t="s">
        <v>1580</v>
      </c>
      <c r="E3" s="431" t="s">
        <v>1581</v>
      </c>
      <c r="F3" s="431" t="s">
        <v>1582</v>
      </c>
      <c r="G3" s="431" t="s">
        <v>1583</v>
      </c>
      <c r="H3" s="431" t="s">
        <v>1584</v>
      </c>
      <c r="I3" s="431" t="s">
        <v>1585</v>
      </c>
      <c r="J3" s="586" t="s">
        <v>1586</v>
      </c>
    </row>
    <row r="4" spans="1:10" ht="44.1" customHeight="1">
      <c r="A4" s="587" t="s">
        <v>4163</v>
      </c>
      <c r="B4" s="588" t="s">
        <v>4164</v>
      </c>
      <c r="C4" s="588" t="s">
        <v>4165</v>
      </c>
      <c r="D4" s="588" t="s">
        <v>4166</v>
      </c>
      <c r="E4" s="588" t="s">
        <v>4167</v>
      </c>
      <c r="F4" s="588" t="s">
        <v>4168</v>
      </c>
      <c r="G4" s="588" t="s">
        <v>4169</v>
      </c>
      <c r="H4" s="588" t="s">
        <v>4170</v>
      </c>
      <c r="I4" s="588" t="s">
        <v>4171</v>
      </c>
      <c r="J4" s="589" t="s">
        <v>4091</v>
      </c>
    </row>
    <row r="5" spans="1:10" ht="21.95" customHeight="1">
      <c r="A5" s="590"/>
      <c r="B5" s="591"/>
      <c r="C5" s="591"/>
      <c r="D5" s="591"/>
      <c r="E5" s="591"/>
      <c r="F5" s="591"/>
      <c r="G5" s="591"/>
      <c r="H5" s="591"/>
      <c r="I5" s="591"/>
      <c r="J5" s="592"/>
    </row>
    <row r="6" spans="1:10" ht="21.95" customHeight="1">
      <c r="A6" s="590"/>
      <c r="B6" s="591"/>
      <c r="C6" s="591"/>
      <c r="D6" s="591"/>
      <c r="E6" s="591"/>
      <c r="F6" s="591"/>
      <c r="G6" s="591"/>
      <c r="H6" s="591"/>
      <c r="I6" s="591"/>
      <c r="J6" s="592"/>
    </row>
    <row r="7" spans="1:10" ht="21.95" customHeight="1">
      <c r="A7" s="590"/>
      <c r="B7" s="591"/>
      <c r="C7" s="591"/>
      <c r="D7" s="591"/>
      <c r="E7" s="591"/>
      <c r="F7" s="591"/>
      <c r="G7" s="591"/>
      <c r="H7" s="591"/>
      <c r="I7" s="591"/>
      <c r="J7" s="592"/>
    </row>
    <row r="8" spans="1:10" ht="21.95" customHeight="1">
      <c r="A8" s="590"/>
      <c r="B8" s="591"/>
      <c r="C8" s="591"/>
      <c r="D8" s="591"/>
      <c r="E8" s="591"/>
      <c r="F8" s="591"/>
      <c r="G8" s="591"/>
      <c r="H8" s="591"/>
      <c r="I8" s="591"/>
      <c r="J8" s="592"/>
    </row>
    <row r="9" spans="1:10" ht="21.95" customHeight="1">
      <c r="A9" s="590"/>
      <c r="B9" s="591"/>
      <c r="C9" s="591"/>
      <c r="D9" s="591"/>
      <c r="E9" s="591"/>
      <c r="F9" s="591"/>
      <c r="G9" s="591"/>
      <c r="H9" s="591"/>
      <c r="I9" s="591"/>
      <c r="J9" s="592"/>
    </row>
    <row r="10" spans="1:10" ht="21.95" customHeight="1">
      <c r="A10" s="590"/>
      <c r="B10" s="591"/>
      <c r="C10" s="591"/>
      <c r="D10" s="591"/>
      <c r="E10" s="591"/>
      <c r="F10" s="591"/>
      <c r="G10" s="591"/>
      <c r="H10" s="591"/>
      <c r="I10" s="591"/>
      <c r="J10" s="592"/>
    </row>
    <row r="11" spans="1:10" ht="21.95" customHeight="1">
      <c r="A11" s="590"/>
      <c r="B11" s="591"/>
      <c r="C11" s="591"/>
      <c r="D11" s="591"/>
      <c r="E11" s="591"/>
      <c r="F11" s="591"/>
      <c r="G11" s="591"/>
      <c r="H11" s="591"/>
      <c r="I11" s="591"/>
      <c r="J11" s="592"/>
    </row>
    <row r="12" spans="1:10" ht="21.95" customHeight="1">
      <c r="A12" s="590"/>
      <c r="B12" s="591"/>
      <c r="C12" s="591"/>
      <c r="D12" s="591"/>
      <c r="E12" s="591"/>
      <c r="F12" s="591"/>
      <c r="G12" s="591"/>
      <c r="H12" s="591"/>
      <c r="I12" s="591"/>
      <c r="J12" s="592"/>
    </row>
    <row r="13" spans="1:10" ht="21.95" customHeight="1">
      <c r="A13" s="590"/>
      <c r="B13" s="591"/>
      <c r="C13" s="591"/>
      <c r="D13" s="591"/>
      <c r="E13" s="591"/>
      <c r="F13" s="591"/>
      <c r="G13" s="591"/>
      <c r="H13" s="591"/>
      <c r="I13" s="591"/>
      <c r="J13" s="592"/>
    </row>
    <row r="14" spans="1:10" ht="21.95" customHeight="1">
      <c r="A14" s="590"/>
      <c r="B14" s="591"/>
      <c r="C14" s="591"/>
      <c r="D14" s="591"/>
      <c r="E14" s="591"/>
      <c r="F14" s="591"/>
      <c r="G14" s="591"/>
      <c r="H14" s="591"/>
      <c r="I14" s="591"/>
      <c r="J14" s="592"/>
    </row>
    <row r="15" spans="1:10" ht="21.95" customHeight="1">
      <c r="A15" s="590"/>
      <c r="B15" s="591"/>
      <c r="C15" s="591"/>
      <c r="D15" s="591"/>
      <c r="E15" s="591"/>
      <c r="F15" s="591"/>
      <c r="G15" s="591"/>
      <c r="H15" s="591"/>
      <c r="I15" s="591"/>
      <c r="J15" s="592"/>
    </row>
    <row r="16" spans="1:10" ht="21.95" customHeight="1">
      <c r="A16" s="590"/>
      <c r="B16" s="591"/>
      <c r="C16" s="591"/>
      <c r="D16" s="591"/>
      <c r="E16" s="591"/>
      <c r="F16" s="591"/>
      <c r="G16" s="591"/>
      <c r="H16" s="591"/>
      <c r="I16" s="591"/>
      <c r="J16" s="592"/>
    </row>
    <row r="17" spans="1:10" ht="21.95" customHeight="1">
      <c r="A17" s="590"/>
      <c r="B17" s="591"/>
      <c r="C17" s="591"/>
      <c r="D17" s="591"/>
      <c r="E17" s="591"/>
      <c r="F17" s="591"/>
      <c r="G17" s="591"/>
      <c r="H17" s="591"/>
      <c r="I17" s="591"/>
      <c r="J17" s="592"/>
    </row>
    <row r="18" spans="1:10" ht="21.95" customHeight="1">
      <c r="A18" s="590"/>
      <c r="B18" s="591"/>
      <c r="C18" s="591"/>
      <c r="D18" s="591"/>
      <c r="E18" s="591"/>
      <c r="F18" s="591"/>
      <c r="G18" s="591"/>
      <c r="H18" s="591"/>
      <c r="I18" s="591"/>
      <c r="J18" s="592"/>
    </row>
    <row r="19" spans="1:10" ht="21.95" customHeight="1">
      <c r="A19" s="593"/>
      <c r="B19" s="594"/>
      <c r="C19" s="594"/>
      <c r="D19" s="594"/>
      <c r="E19" s="594"/>
      <c r="F19" s="594"/>
      <c r="G19" s="594"/>
      <c r="H19" s="594"/>
      <c r="I19" s="594"/>
      <c r="J19" s="595"/>
    </row>
  </sheetData>
  <mergeCells count="2">
    <mergeCell ref="A1:J1"/>
    <mergeCell ref="A2:J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0230D-2508-4000-9E03-46EF06D7F042}">
  <sheetPr>
    <tabColor rgb="FF2F5597"/>
  </sheetPr>
  <dimension ref="A1:N29"/>
  <sheetViews>
    <sheetView workbookViewId="0">
      <selection sqref="A1:N1"/>
    </sheetView>
  </sheetViews>
  <sheetFormatPr defaultRowHeight="15"/>
  <cols>
    <col min="1" max="3" width="5.28515625" customWidth="1"/>
    <col min="4" max="4" width="8.42578125" customWidth="1"/>
    <col min="5" max="5" width="6.85546875" customWidth="1"/>
    <col min="6" max="6" width="4.5703125" customWidth="1"/>
    <col min="7" max="7" width="6.85546875" customWidth="1"/>
    <col min="8" max="9" width="5.28515625" customWidth="1"/>
    <col min="10" max="10" width="5.7109375" customWidth="1"/>
    <col min="11" max="11" width="5.28515625" customWidth="1"/>
    <col min="12" max="12" width="4.140625" customWidth="1"/>
    <col min="13" max="13" width="6.85546875" customWidth="1"/>
    <col min="14" max="14" width="15.28515625" customWidth="1"/>
  </cols>
  <sheetData>
    <row r="1" spans="1:14" ht="32.1" customHeight="1">
      <c r="A1" s="583" t="s">
        <v>4172</v>
      </c>
      <c r="B1" s="583"/>
      <c r="C1" s="583"/>
      <c r="D1" s="583"/>
      <c r="E1" s="583"/>
      <c r="F1" s="583"/>
      <c r="G1" s="583"/>
      <c r="H1" s="583"/>
      <c r="I1" s="583"/>
      <c r="J1" s="583"/>
      <c r="K1" s="583"/>
      <c r="L1" s="583"/>
      <c r="M1" s="583"/>
      <c r="N1" s="583"/>
    </row>
    <row r="2" spans="1:14" ht="21.95" customHeight="1">
      <c r="A2" s="584" t="s">
        <v>4173</v>
      </c>
      <c r="B2" s="584"/>
      <c r="C2" s="584"/>
      <c r="D2" s="584"/>
      <c r="E2" s="584"/>
      <c r="F2" s="584"/>
      <c r="G2" s="584"/>
      <c r="H2" s="584"/>
      <c r="I2" s="584"/>
      <c r="J2" s="584"/>
      <c r="K2" s="584"/>
      <c r="L2" s="584"/>
      <c r="M2" s="584"/>
      <c r="N2" s="584"/>
    </row>
    <row r="3" spans="1:14" ht="30" customHeight="1">
      <c r="A3" s="430" t="s">
        <v>1678</v>
      </c>
      <c r="B3" s="431" t="s">
        <v>1679</v>
      </c>
      <c r="C3" s="431" t="s">
        <v>1022</v>
      </c>
      <c r="D3" s="431" t="s">
        <v>1680</v>
      </c>
      <c r="E3" s="431" t="s">
        <v>1681</v>
      </c>
      <c r="F3" s="431" t="s">
        <v>1682</v>
      </c>
      <c r="G3" s="431" t="s">
        <v>17</v>
      </c>
      <c r="H3" s="431" t="s">
        <v>277</v>
      </c>
      <c r="I3" s="431" t="s">
        <v>275</v>
      </c>
      <c r="J3" s="431" t="s">
        <v>1683</v>
      </c>
      <c r="K3" s="431" t="s">
        <v>1684</v>
      </c>
      <c r="L3" s="431" t="s">
        <v>1685</v>
      </c>
      <c r="M3" s="431" t="s">
        <v>1686</v>
      </c>
      <c r="N3" s="586" t="s">
        <v>1687</v>
      </c>
    </row>
    <row r="4" spans="1:14" ht="44.1" customHeight="1">
      <c r="A4" s="587" t="s">
        <v>4174</v>
      </c>
      <c r="B4" s="588" t="s">
        <v>4175</v>
      </c>
      <c r="C4" s="588" t="s">
        <v>4163</v>
      </c>
      <c r="D4" s="588" t="s">
        <v>4176</v>
      </c>
      <c r="E4" s="588" t="s">
        <v>4177</v>
      </c>
      <c r="F4" s="588" t="s">
        <v>4178</v>
      </c>
      <c r="G4" s="588" t="s">
        <v>4179</v>
      </c>
      <c r="H4" s="588" t="s">
        <v>4180</v>
      </c>
      <c r="I4" s="588" t="s">
        <v>4181</v>
      </c>
      <c r="J4" s="588" t="s">
        <v>4182</v>
      </c>
      <c r="K4" s="588" t="s">
        <v>4183</v>
      </c>
      <c r="L4" s="588" t="s">
        <v>4184</v>
      </c>
      <c r="M4" s="588" t="s">
        <v>4185</v>
      </c>
      <c r="N4" s="589" t="s">
        <v>4186</v>
      </c>
    </row>
    <row r="5" spans="1:14" ht="21.95" customHeight="1">
      <c r="A5" s="590"/>
      <c r="B5" s="591"/>
      <c r="C5" s="591"/>
      <c r="D5" s="591"/>
      <c r="E5" s="591"/>
      <c r="F5" s="591"/>
      <c r="G5" s="591"/>
      <c r="H5" s="591"/>
      <c r="I5" s="591"/>
      <c r="J5" s="591"/>
      <c r="K5" s="591"/>
      <c r="L5" s="591"/>
      <c r="M5" s="591"/>
      <c r="N5" s="592"/>
    </row>
    <row r="6" spans="1:14" ht="21.95" customHeight="1">
      <c r="A6" s="590"/>
      <c r="B6" s="591"/>
      <c r="C6" s="591"/>
      <c r="D6" s="591"/>
      <c r="E6" s="591"/>
      <c r="F6" s="591"/>
      <c r="G6" s="591"/>
      <c r="H6" s="591"/>
      <c r="I6" s="591"/>
      <c r="J6" s="591"/>
      <c r="K6" s="591"/>
      <c r="L6" s="591"/>
      <c r="M6" s="591"/>
      <c r="N6" s="592"/>
    </row>
    <row r="7" spans="1:14" ht="21.95" customHeight="1">
      <c r="A7" s="590"/>
      <c r="B7" s="591"/>
      <c r="C7" s="591"/>
      <c r="D7" s="591"/>
      <c r="E7" s="591"/>
      <c r="F7" s="591"/>
      <c r="G7" s="591"/>
      <c r="H7" s="591"/>
      <c r="I7" s="591"/>
      <c r="J7" s="591"/>
      <c r="K7" s="591"/>
      <c r="L7" s="591"/>
      <c r="M7" s="591"/>
      <c r="N7" s="592"/>
    </row>
    <row r="8" spans="1:14" ht="21.95" customHeight="1">
      <c r="A8" s="590"/>
      <c r="B8" s="591"/>
      <c r="C8" s="591"/>
      <c r="D8" s="591"/>
      <c r="E8" s="591"/>
      <c r="F8" s="591"/>
      <c r="G8" s="591"/>
      <c r="H8" s="591"/>
      <c r="I8" s="591"/>
      <c r="J8" s="591"/>
      <c r="K8" s="591"/>
      <c r="L8" s="591"/>
      <c r="M8" s="591"/>
      <c r="N8" s="592"/>
    </row>
    <row r="9" spans="1:14" ht="21.95" customHeight="1">
      <c r="A9" s="590"/>
      <c r="B9" s="591"/>
      <c r="C9" s="591"/>
      <c r="D9" s="591"/>
      <c r="E9" s="591"/>
      <c r="F9" s="591"/>
      <c r="G9" s="591"/>
      <c r="H9" s="591"/>
      <c r="I9" s="591"/>
      <c r="J9" s="591"/>
      <c r="K9" s="591"/>
      <c r="L9" s="591"/>
      <c r="M9" s="591"/>
      <c r="N9" s="592"/>
    </row>
    <row r="10" spans="1:14" ht="21.95" customHeight="1">
      <c r="A10" s="590"/>
      <c r="B10" s="591"/>
      <c r="C10" s="591"/>
      <c r="D10" s="591"/>
      <c r="E10" s="591"/>
      <c r="F10" s="591"/>
      <c r="G10" s="591"/>
      <c r="H10" s="591"/>
      <c r="I10" s="591"/>
      <c r="J10" s="591"/>
      <c r="K10" s="591"/>
      <c r="L10" s="591"/>
      <c r="M10" s="591"/>
      <c r="N10" s="592"/>
    </row>
    <row r="11" spans="1:14" ht="21.95" customHeight="1">
      <c r="A11" s="590"/>
      <c r="B11" s="591"/>
      <c r="C11" s="591"/>
      <c r="D11" s="591"/>
      <c r="E11" s="591"/>
      <c r="F11" s="591"/>
      <c r="G11" s="591"/>
      <c r="H11" s="591"/>
      <c r="I11" s="591"/>
      <c r="J11" s="591"/>
      <c r="K11" s="591"/>
      <c r="L11" s="591"/>
      <c r="M11" s="591"/>
      <c r="N11" s="592"/>
    </row>
    <row r="12" spans="1:14" ht="21.95" customHeight="1">
      <c r="A12" s="590"/>
      <c r="B12" s="591"/>
      <c r="C12" s="591"/>
      <c r="D12" s="591"/>
      <c r="E12" s="591"/>
      <c r="F12" s="591"/>
      <c r="G12" s="591"/>
      <c r="H12" s="591"/>
      <c r="I12" s="591"/>
      <c r="J12" s="591"/>
      <c r="K12" s="591"/>
      <c r="L12" s="591"/>
      <c r="M12" s="591"/>
      <c r="N12" s="592"/>
    </row>
    <row r="13" spans="1:14" ht="21.95" customHeight="1">
      <c r="A13" s="590"/>
      <c r="B13" s="591"/>
      <c r="C13" s="591"/>
      <c r="D13" s="591"/>
      <c r="E13" s="591"/>
      <c r="F13" s="591"/>
      <c r="G13" s="591"/>
      <c r="H13" s="591"/>
      <c r="I13" s="591"/>
      <c r="J13" s="591"/>
      <c r="K13" s="591"/>
      <c r="L13" s="591"/>
      <c r="M13" s="591"/>
      <c r="N13" s="592"/>
    </row>
    <row r="14" spans="1:14" ht="21.95" customHeight="1">
      <c r="A14" s="590"/>
      <c r="B14" s="591"/>
      <c r="C14" s="591"/>
      <c r="D14" s="591"/>
      <c r="E14" s="591"/>
      <c r="F14" s="591"/>
      <c r="G14" s="591"/>
      <c r="H14" s="591"/>
      <c r="I14" s="591"/>
      <c r="J14" s="591"/>
      <c r="K14" s="591"/>
      <c r="L14" s="591"/>
      <c r="M14" s="591"/>
      <c r="N14" s="592"/>
    </row>
    <row r="15" spans="1:14" ht="21.95" customHeight="1">
      <c r="A15" s="590"/>
      <c r="B15" s="591"/>
      <c r="C15" s="591"/>
      <c r="D15" s="591"/>
      <c r="E15" s="591"/>
      <c r="F15" s="591"/>
      <c r="G15" s="591"/>
      <c r="H15" s="591"/>
      <c r="I15" s="591"/>
      <c r="J15" s="591"/>
      <c r="K15" s="591"/>
      <c r="L15" s="591"/>
      <c r="M15" s="591"/>
      <c r="N15" s="592"/>
    </row>
    <row r="16" spans="1:14" ht="21.95" customHeight="1">
      <c r="A16" s="590"/>
      <c r="B16" s="591"/>
      <c r="C16" s="591"/>
      <c r="D16" s="591"/>
      <c r="E16" s="591"/>
      <c r="F16" s="591"/>
      <c r="G16" s="591"/>
      <c r="H16" s="591"/>
      <c r="I16" s="591"/>
      <c r="J16" s="591"/>
      <c r="K16" s="591"/>
      <c r="L16" s="591"/>
      <c r="M16" s="591"/>
      <c r="N16" s="592"/>
    </row>
    <row r="17" spans="1:14" ht="21.95" customHeight="1">
      <c r="A17" s="590"/>
      <c r="B17" s="591"/>
      <c r="C17" s="591"/>
      <c r="D17" s="591"/>
      <c r="E17" s="591"/>
      <c r="F17" s="591"/>
      <c r="G17" s="591"/>
      <c r="H17" s="591"/>
      <c r="I17" s="591"/>
      <c r="J17" s="591"/>
      <c r="K17" s="591"/>
      <c r="L17" s="591"/>
      <c r="M17" s="591"/>
      <c r="N17" s="592"/>
    </row>
    <row r="18" spans="1:14" ht="21.95" customHeight="1">
      <c r="A18" s="590"/>
      <c r="B18" s="591"/>
      <c r="C18" s="591"/>
      <c r="D18" s="591"/>
      <c r="E18" s="591"/>
      <c r="F18" s="591"/>
      <c r="G18" s="591"/>
      <c r="H18" s="591"/>
      <c r="I18" s="591"/>
      <c r="J18" s="591"/>
      <c r="K18" s="591"/>
      <c r="L18" s="591"/>
      <c r="M18" s="591"/>
      <c r="N18" s="592"/>
    </row>
    <row r="19" spans="1:14" ht="21.95" customHeight="1">
      <c r="A19" s="590"/>
      <c r="B19" s="591"/>
      <c r="C19" s="591"/>
      <c r="D19" s="591"/>
      <c r="E19" s="591"/>
      <c r="F19" s="591"/>
      <c r="G19" s="591"/>
      <c r="H19" s="591"/>
      <c r="I19" s="591"/>
      <c r="J19" s="591"/>
      <c r="K19" s="591"/>
      <c r="L19" s="591"/>
      <c r="M19" s="591"/>
      <c r="N19" s="592"/>
    </row>
    <row r="20" spans="1:14" ht="21.95" customHeight="1">
      <c r="A20" s="590"/>
      <c r="B20" s="591"/>
      <c r="C20" s="591"/>
      <c r="D20" s="591"/>
      <c r="E20" s="591"/>
      <c r="F20" s="591"/>
      <c r="G20" s="591"/>
      <c r="H20" s="591"/>
      <c r="I20" s="591"/>
      <c r="J20" s="591"/>
      <c r="K20" s="591"/>
      <c r="L20" s="591"/>
      <c r="M20" s="591"/>
      <c r="N20" s="592"/>
    </row>
    <row r="21" spans="1:14" ht="21.95" customHeight="1">
      <c r="A21" s="590"/>
      <c r="B21" s="591"/>
      <c r="C21" s="591"/>
      <c r="D21" s="591"/>
      <c r="E21" s="591"/>
      <c r="F21" s="591"/>
      <c r="G21" s="591"/>
      <c r="H21" s="591"/>
      <c r="I21" s="591"/>
      <c r="J21" s="591"/>
      <c r="K21" s="591"/>
      <c r="L21" s="591"/>
      <c r="M21" s="591"/>
      <c r="N21" s="592"/>
    </row>
    <row r="22" spans="1:14" ht="21.95" customHeight="1">
      <c r="A22" s="590"/>
      <c r="B22" s="591"/>
      <c r="C22" s="591"/>
      <c r="D22" s="591"/>
      <c r="E22" s="591"/>
      <c r="F22" s="591"/>
      <c r="G22" s="591"/>
      <c r="H22" s="591"/>
      <c r="I22" s="591"/>
      <c r="J22" s="591"/>
      <c r="K22" s="591"/>
      <c r="L22" s="591"/>
      <c r="M22" s="591"/>
      <c r="N22" s="592"/>
    </row>
    <row r="23" spans="1:14" ht="21.95" customHeight="1">
      <c r="A23" s="590"/>
      <c r="B23" s="591"/>
      <c r="C23" s="591"/>
      <c r="D23" s="591"/>
      <c r="E23" s="591"/>
      <c r="F23" s="591"/>
      <c r="G23" s="591"/>
      <c r="H23" s="591"/>
      <c r="I23" s="591"/>
      <c r="J23" s="591"/>
      <c r="K23" s="591"/>
      <c r="L23" s="591"/>
      <c r="M23" s="591"/>
      <c r="N23" s="592"/>
    </row>
    <row r="24" spans="1:14" ht="21.95" customHeight="1">
      <c r="A24" s="590"/>
      <c r="B24" s="591"/>
      <c r="C24" s="591"/>
      <c r="D24" s="591"/>
      <c r="E24" s="591"/>
      <c r="F24" s="591"/>
      <c r="G24" s="591"/>
      <c r="H24" s="591"/>
      <c r="I24" s="591"/>
      <c r="J24" s="591"/>
      <c r="K24" s="591"/>
      <c r="L24" s="591"/>
      <c r="M24" s="591"/>
      <c r="N24" s="592"/>
    </row>
    <row r="25" spans="1:14" ht="21.95" customHeight="1">
      <c r="A25" s="590"/>
      <c r="B25" s="591"/>
      <c r="C25" s="591"/>
      <c r="D25" s="591"/>
      <c r="E25" s="591"/>
      <c r="F25" s="591"/>
      <c r="G25" s="591"/>
      <c r="H25" s="591"/>
      <c r="I25" s="591"/>
      <c r="J25" s="591"/>
      <c r="K25" s="591"/>
      <c r="L25" s="591"/>
      <c r="M25" s="591"/>
      <c r="N25" s="592"/>
    </row>
    <row r="26" spans="1:14" ht="21.95" customHeight="1">
      <c r="A26" s="590"/>
      <c r="B26" s="591"/>
      <c r="C26" s="591"/>
      <c r="D26" s="591"/>
      <c r="E26" s="591"/>
      <c r="F26" s="591"/>
      <c r="G26" s="591"/>
      <c r="H26" s="591"/>
      <c r="I26" s="591"/>
      <c r="J26" s="591"/>
      <c r="K26" s="591"/>
      <c r="L26" s="591"/>
      <c r="M26" s="591"/>
      <c r="N26" s="592"/>
    </row>
    <row r="27" spans="1:14" ht="21.95" customHeight="1">
      <c r="A27" s="590"/>
      <c r="B27" s="591"/>
      <c r="C27" s="591"/>
      <c r="D27" s="591"/>
      <c r="E27" s="591"/>
      <c r="F27" s="591"/>
      <c r="G27" s="591"/>
      <c r="H27" s="591"/>
      <c r="I27" s="591"/>
      <c r="J27" s="591"/>
      <c r="K27" s="591"/>
      <c r="L27" s="591"/>
      <c r="M27" s="591"/>
      <c r="N27" s="592"/>
    </row>
    <row r="28" spans="1:14" ht="21.95" customHeight="1">
      <c r="A28" s="590"/>
      <c r="B28" s="591"/>
      <c r="C28" s="591"/>
      <c r="D28" s="591"/>
      <c r="E28" s="591"/>
      <c r="F28" s="591"/>
      <c r="G28" s="591"/>
      <c r="H28" s="591"/>
      <c r="I28" s="591"/>
      <c r="J28" s="591"/>
      <c r="K28" s="591"/>
      <c r="L28" s="591"/>
      <c r="M28" s="591"/>
      <c r="N28" s="592"/>
    </row>
    <row r="29" spans="1:14" ht="21.95" customHeight="1">
      <c r="A29" s="593"/>
      <c r="B29" s="594"/>
      <c r="C29" s="594"/>
      <c r="D29" s="594"/>
      <c r="E29" s="594"/>
      <c r="F29" s="594"/>
      <c r="G29" s="594"/>
      <c r="H29" s="594"/>
      <c r="I29" s="594"/>
      <c r="J29" s="594"/>
      <c r="K29" s="594"/>
      <c r="L29" s="594"/>
      <c r="M29" s="594"/>
      <c r="N29" s="595"/>
    </row>
  </sheetData>
  <mergeCells count="2">
    <mergeCell ref="A1:N1"/>
    <mergeCell ref="A2:N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E11AF-6993-45AC-A77D-99C09A33460E}">
  <sheetPr>
    <tabColor rgb="FF2F5597"/>
  </sheetPr>
  <dimension ref="A1:K14"/>
  <sheetViews>
    <sheetView workbookViewId="0">
      <selection sqref="A1:K1"/>
    </sheetView>
  </sheetViews>
  <sheetFormatPr defaultRowHeight="15"/>
  <cols>
    <col min="1" max="1" width="5.28515625" customWidth="1"/>
    <col min="2" max="2" width="10.7109375" customWidth="1"/>
    <col min="3" max="3" width="9.5703125" customWidth="1"/>
    <col min="4" max="4" width="15.28515625" customWidth="1"/>
    <col min="5" max="5" width="8.42578125" customWidth="1"/>
    <col min="6" max="6" width="15.28515625" customWidth="1"/>
    <col min="7" max="7" width="5.28515625" customWidth="1"/>
    <col min="8" max="9" width="9.5703125" customWidth="1"/>
    <col min="10" max="10" width="11.42578125" customWidth="1"/>
    <col min="11" max="11" width="8.42578125" customWidth="1"/>
  </cols>
  <sheetData>
    <row r="1" spans="1:11" ht="32.1" customHeight="1">
      <c r="A1" s="583" t="s">
        <v>4187</v>
      </c>
      <c r="B1" s="583"/>
      <c r="C1" s="583"/>
      <c r="D1" s="583"/>
      <c r="E1" s="583"/>
      <c r="F1" s="583"/>
      <c r="G1" s="583"/>
      <c r="H1" s="583"/>
      <c r="I1" s="583"/>
      <c r="J1" s="583"/>
      <c r="K1" s="583"/>
    </row>
    <row r="2" spans="1:11" ht="21.95" customHeight="1">
      <c r="A2" s="584" t="s">
        <v>4188</v>
      </c>
      <c r="B2" s="584"/>
      <c r="C2" s="584"/>
      <c r="D2" s="584"/>
      <c r="E2" s="584"/>
      <c r="F2" s="584"/>
      <c r="G2" s="584"/>
      <c r="H2" s="584"/>
      <c r="I2" s="584"/>
      <c r="J2" s="584"/>
      <c r="K2" s="584"/>
    </row>
    <row r="3" spans="1:11" ht="30" customHeight="1">
      <c r="A3" s="430" t="s">
        <v>1335</v>
      </c>
      <c r="B3" s="431" t="s">
        <v>1336</v>
      </c>
      <c r="C3" s="431" t="s">
        <v>824</v>
      </c>
      <c r="D3" s="431" t="s">
        <v>1337</v>
      </c>
      <c r="E3" s="431" t="s">
        <v>1338</v>
      </c>
      <c r="F3" s="431" t="s">
        <v>1339</v>
      </c>
      <c r="G3" s="431" t="s">
        <v>16</v>
      </c>
      <c r="H3" s="431" t="s">
        <v>1340</v>
      </c>
      <c r="I3" s="431" t="s">
        <v>1341</v>
      </c>
      <c r="J3" s="431" t="s">
        <v>1342</v>
      </c>
      <c r="K3" s="586" t="s">
        <v>644</v>
      </c>
    </row>
    <row r="4" spans="1:11" ht="44.1" customHeight="1">
      <c r="A4" s="587" t="s">
        <v>4189</v>
      </c>
      <c r="B4" s="588" t="s">
        <v>4190</v>
      </c>
      <c r="C4" s="588" t="s">
        <v>4191</v>
      </c>
      <c r="D4" s="588" t="s">
        <v>4192</v>
      </c>
      <c r="E4" s="588" t="s">
        <v>4193</v>
      </c>
      <c r="F4" s="588" t="s">
        <v>4194</v>
      </c>
      <c r="G4" s="588" t="s">
        <v>4195</v>
      </c>
      <c r="H4" s="588" t="s">
        <v>4196</v>
      </c>
      <c r="I4" s="588" t="s">
        <v>4197</v>
      </c>
      <c r="J4" s="588" t="s">
        <v>4198</v>
      </c>
      <c r="K4" s="589" t="s">
        <v>4199</v>
      </c>
    </row>
    <row r="5" spans="1:11" ht="21.95" customHeight="1">
      <c r="A5" s="590"/>
      <c r="B5" s="591"/>
      <c r="C5" s="591"/>
      <c r="D5" s="591"/>
      <c r="E5" s="591"/>
      <c r="F5" s="591"/>
      <c r="G5" s="591"/>
      <c r="H5" s="591"/>
      <c r="I5" s="591"/>
      <c r="J5" s="591"/>
      <c r="K5" s="592"/>
    </row>
    <row r="6" spans="1:11" ht="21.95" customHeight="1">
      <c r="A6" s="590"/>
      <c r="B6" s="591"/>
      <c r="C6" s="591"/>
      <c r="D6" s="591"/>
      <c r="E6" s="591"/>
      <c r="F6" s="591"/>
      <c r="G6" s="591"/>
      <c r="H6" s="591"/>
      <c r="I6" s="591"/>
      <c r="J6" s="591"/>
      <c r="K6" s="592"/>
    </row>
    <row r="7" spans="1:11" ht="21.95" customHeight="1">
      <c r="A7" s="590"/>
      <c r="B7" s="591"/>
      <c r="C7" s="591"/>
      <c r="D7" s="591"/>
      <c r="E7" s="591"/>
      <c r="F7" s="591"/>
      <c r="G7" s="591"/>
      <c r="H7" s="591"/>
      <c r="I7" s="591"/>
      <c r="J7" s="591"/>
      <c r="K7" s="592"/>
    </row>
    <row r="8" spans="1:11" ht="21.95" customHeight="1">
      <c r="A8" s="590"/>
      <c r="B8" s="591"/>
      <c r="C8" s="591"/>
      <c r="D8" s="591"/>
      <c r="E8" s="591"/>
      <c r="F8" s="591"/>
      <c r="G8" s="591"/>
      <c r="H8" s="591"/>
      <c r="I8" s="591"/>
      <c r="J8" s="591"/>
      <c r="K8" s="592"/>
    </row>
    <row r="9" spans="1:11" ht="21.95" customHeight="1">
      <c r="A9" s="590"/>
      <c r="B9" s="591"/>
      <c r="C9" s="591"/>
      <c r="D9" s="591"/>
      <c r="E9" s="591"/>
      <c r="F9" s="591"/>
      <c r="G9" s="591"/>
      <c r="H9" s="591"/>
      <c r="I9" s="591"/>
      <c r="J9" s="591"/>
      <c r="K9" s="592"/>
    </row>
    <row r="10" spans="1:11" ht="21.95" customHeight="1">
      <c r="A10" s="590"/>
      <c r="B10" s="591"/>
      <c r="C10" s="591"/>
      <c r="D10" s="591"/>
      <c r="E10" s="591"/>
      <c r="F10" s="591"/>
      <c r="G10" s="591"/>
      <c r="H10" s="591"/>
      <c r="I10" s="591"/>
      <c r="J10" s="591"/>
      <c r="K10" s="592"/>
    </row>
    <row r="11" spans="1:11" ht="21.95" customHeight="1">
      <c r="A11" s="590"/>
      <c r="B11" s="591"/>
      <c r="C11" s="591"/>
      <c r="D11" s="591"/>
      <c r="E11" s="591"/>
      <c r="F11" s="591"/>
      <c r="G11" s="591"/>
      <c r="H11" s="591"/>
      <c r="I11" s="591"/>
      <c r="J11" s="591"/>
      <c r="K11" s="592"/>
    </row>
    <row r="12" spans="1:11" ht="21.95" customHeight="1">
      <c r="A12" s="590"/>
      <c r="B12" s="591"/>
      <c r="C12" s="591"/>
      <c r="D12" s="591"/>
      <c r="E12" s="591"/>
      <c r="F12" s="591"/>
      <c r="G12" s="591"/>
      <c r="H12" s="591"/>
      <c r="I12" s="591"/>
      <c r="J12" s="591"/>
      <c r="K12" s="592"/>
    </row>
    <row r="13" spans="1:11" ht="21.95" customHeight="1">
      <c r="A13" s="590"/>
      <c r="B13" s="591"/>
      <c r="C13" s="591"/>
      <c r="D13" s="591"/>
      <c r="E13" s="591"/>
      <c r="F13" s="591"/>
      <c r="G13" s="591"/>
      <c r="H13" s="591"/>
      <c r="I13" s="591"/>
      <c r="J13" s="591"/>
      <c r="K13" s="592"/>
    </row>
    <row r="14" spans="1:11" ht="21.95" customHeight="1">
      <c r="A14" s="593"/>
      <c r="B14" s="594"/>
      <c r="C14" s="594"/>
      <c r="D14" s="594"/>
      <c r="E14" s="594"/>
      <c r="F14" s="594"/>
      <c r="G14" s="594"/>
      <c r="H14" s="594"/>
      <c r="I14" s="594"/>
      <c r="J14" s="594"/>
      <c r="K14" s="595"/>
    </row>
  </sheetData>
  <mergeCells count="2">
    <mergeCell ref="A1:K1"/>
    <mergeCell ref="A2:K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36D87-6527-46C1-BB7B-F8C7D8011035}">
  <sheetPr>
    <tabColor rgb="FF2F5597"/>
  </sheetPr>
  <dimension ref="A1:L24"/>
  <sheetViews>
    <sheetView workbookViewId="0">
      <selection sqref="A1:L1"/>
    </sheetView>
  </sheetViews>
  <sheetFormatPr defaultRowHeight="15"/>
  <cols>
    <col min="1" max="1" width="5.28515625" customWidth="1"/>
    <col min="2" max="2" width="13.28515625" customWidth="1"/>
    <col min="3" max="3" width="5.28515625" customWidth="1"/>
    <col min="4" max="4" width="6.42578125" customWidth="1"/>
    <col min="5" max="5" width="4.140625" customWidth="1"/>
    <col min="6" max="6" width="5.28515625" customWidth="1"/>
    <col min="7" max="7" width="5.7109375" customWidth="1"/>
    <col min="8" max="8" width="6.42578125" customWidth="1"/>
    <col min="9" max="9" width="5.28515625" customWidth="1"/>
    <col min="10" max="10" width="6.42578125" customWidth="1"/>
    <col min="11" max="11" width="5.28515625" customWidth="1"/>
    <col min="12" max="12" width="6.85546875" customWidth="1"/>
  </cols>
  <sheetData>
    <row r="1" spans="1:12" ht="32.1" customHeight="1">
      <c r="A1" s="583" t="s">
        <v>4200</v>
      </c>
      <c r="B1" s="583"/>
      <c r="C1" s="583"/>
      <c r="D1" s="583"/>
      <c r="E1" s="583"/>
      <c r="F1" s="583"/>
      <c r="G1" s="583"/>
      <c r="H1" s="583"/>
      <c r="I1" s="583"/>
      <c r="J1" s="583"/>
      <c r="K1" s="583"/>
      <c r="L1" s="583"/>
    </row>
    <row r="2" spans="1:12" ht="21.95" customHeight="1">
      <c r="A2" s="584" t="s">
        <v>4201</v>
      </c>
      <c r="B2" s="584"/>
      <c r="C2" s="584"/>
      <c r="D2" s="584"/>
      <c r="E2" s="584"/>
      <c r="F2" s="584"/>
      <c r="G2" s="584"/>
      <c r="H2" s="584"/>
      <c r="I2" s="584"/>
      <c r="J2" s="584"/>
      <c r="K2" s="584"/>
      <c r="L2" s="584"/>
    </row>
    <row r="3" spans="1:12" ht="30" customHeight="1">
      <c r="A3" s="430" t="s">
        <v>1421</v>
      </c>
      <c r="B3" s="431" t="s">
        <v>1422</v>
      </c>
      <c r="C3" s="431" t="s">
        <v>1023</v>
      </c>
      <c r="D3" s="431" t="s">
        <v>31</v>
      </c>
      <c r="E3" s="431" t="s">
        <v>570</v>
      </c>
      <c r="F3" s="431" t="s">
        <v>1423</v>
      </c>
      <c r="G3" s="431" t="s">
        <v>1424</v>
      </c>
      <c r="H3" s="431" t="s">
        <v>1425</v>
      </c>
      <c r="I3" s="431" t="s">
        <v>910</v>
      </c>
      <c r="J3" s="431" t="s">
        <v>1426</v>
      </c>
      <c r="K3" s="431" t="s">
        <v>1427</v>
      </c>
      <c r="L3" s="586" t="s">
        <v>644</v>
      </c>
    </row>
    <row r="4" spans="1:12" ht="44.1" customHeight="1">
      <c r="A4" s="587" t="s">
        <v>4202</v>
      </c>
      <c r="B4" s="588" t="s">
        <v>4203</v>
      </c>
      <c r="C4" s="588" t="s">
        <v>4204</v>
      </c>
      <c r="D4" s="588" t="s">
        <v>4205</v>
      </c>
      <c r="E4" s="588" t="s">
        <v>4206</v>
      </c>
      <c r="F4" s="588" t="s">
        <v>4207</v>
      </c>
      <c r="G4" s="588" t="s">
        <v>4208</v>
      </c>
      <c r="H4" s="588" t="s">
        <v>4209</v>
      </c>
      <c r="I4" s="588" t="s">
        <v>4210</v>
      </c>
      <c r="J4" s="588" t="s">
        <v>4211</v>
      </c>
      <c r="K4" s="588" t="s">
        <v>4212</v>
      </c>
      <c r="L4" s="589" t="s">
        <v>4213</v>
      </c>
    </row>
    <row r="5" spans="1:12" ht="21.95" customHeight="1">
      <c r="A5" s="590"/>
      <c r="B5" s="591"/>
      <c r="C5" s="591"/>
      <c r="D5" s="591"/>
      <c r="E5" s="591"/>
      <c r="F5" s="591"/>
      <c r="G5" s="591"/>
      <c r="H5" s="591"/>
      <c r="I5" s="591"/>
      <c r="J5" s="591"/>
      <c r="K5" s="591"/>
      <c r="L5" s="592"/>
    </row>
    <row r="6" spans="1:12" ht="21.95" customHeight="1">
      <c r="A6" s="590"/>
      <c r="B6" s="591"/>
      <c r="C6" s="591"/>
      <c r="D6" s="591"/>
      <c r="E6" s="591"/>
      <c r="F6" s="591"/>
      <c r="G6" s="591"/>
      <c r="H6" s="591"/>
      <c r="I6" s="591"/>
      <c r="J6" s="591"/>
      <c r="K6" s="591"/>
      <c r="L6" s="592"/>
    </row>
    <row r="7" spans="1:12" ht="21.95" customHeight="1">
      <c r="A7" s="590"/>
      <c r="B7" s="591"/>
      <c r="C7" s="591"/>
      <c r="D7" s="591"/>
      <c r="E7" s="591"/>
      <c r="F7" s="591"/>
      <c r="G7" s="591"/>
      <c r="H7" s="591"/>
      <c r="I7" s="591"/>
      <c r="J7" s="591"/>
      <c r="K7" s="591"/>
      <c r="L7" s="592"/>
    </row>
    <row r="8" spans="1:12" ht="21.95" customHeight="1">
      <c r="A8" s="590"/>
      <c r="B8" s="591"/>
      <c r="C8" s="591"/>
      <c r="D8" s="591"/>
      <c r="E8" s="591"/>
      <c r="F8" s="591"/>
      <c r="G8" s="591"/>
      <c r="H8" s="591"/>
      <c r="I8" s="591"/>
      <c r="J8" s="591"/>
      <c r="K8" s="591"/>
      <c r="L8" s="592"/>
    </row>
    <row r="9" spans="1:12" ht="21.95" customHeight="1">
      <c r="A9" s="590"/>
      <c r="B9" s="591"/>
      <c r="C9" s="591"/>
      <c r="D9" s="591"/>
      <c r="E9" s="591"/>
      <c r="F9" s="591"/>
      <c r="G9" s="591"/>
      <c r="H9" s="591"/>
      <c r="I9" s="591"/>
      <c r="J9" s="591"/>
      <c r="K9" s="591"/>
      <c r="L9" s="592"/>
    </row>
    <row r="10" spans="1:12" ht="21.95" customHeight="1">
      <c r="A10" s="590"/>
      <c r="B10" s="591"/>
      <c r="C10" s="591"/>
      <c r="D10" s="591"/>
      <c r="E10" s="591"/>
      <c r="F10" s="591"/>
      <c r="G10" s="591"/>
      <c r="H10" s="591"/>
      <c r="I10" s="591"/>
      <c r="J10" s="591"/>
      <c r="K10" s="591"/>
      <c r="L10" s="592"/>
    </row>
    <row r="11" spans="1:12" ht="21.95" customHeight="1">
      <c r="A11" s="590"/>
      <c r="B11" s="591"/>
      <c r="C11" s="591"/>
      <c r="D11" s="591"/>
      <c r="E11" s="591"/>
      <c r="F11" s="591"/>
      <c r="G11" s="591"/>
      <c r="H11" s="591"/>
      <c r="I11" s="591"/>
      <c r="J11" s="591"/>
      <c r="K11" s="591"/>
      <c r="L11" s="592"/>
    </row>
    <row r="12" spans="1:12" ht="21.95" customHeight="1">
      <c r="A12" s="590"/>
      <c r="B12" s="591"/>
      <c r="C12" s="591"/>
      <c r="D12" s="591"/>
      <c r="E12" s="591"/>
      <c r="F12" s="591"/>
      <c r="G12" s="591"/>
      <c r="H12" s="591"/>
      <c r="I12" s="591"/>
      <c r="J12" s="591"/>
      <c r="K12" s="591"/>
      <c r="L12" s="592"/>
    </row>
    <row r="13" spans="1:12" ht="21.95" customHeight="1">
      <c r="A13" s="590"/>
      <c r="B13" s="591"/>
      <c r="C13" s="591"/>
      <c r="D13" s="591"/>
      <c r="E13" s="591"/>
      <c r="F13" s="591"/>
      <c r="G13" s="591"/>
      <c r="H13" s="591"/>
      <c r="I13" s="591"/>
      <c r="J13" s="591"/>
      <c r="K13" s="591"/>
      <c r="L13" s="592"/>
    </row>
    <row r="14" spans="1:12" ht="21.95" customHeight="1">
      <c r="A14" s="590"/>
      <c r="B14" s="591"/>
      <c r="C14" s="591"/>
      <c r="D14" s="591"/>
      <c r="E14" s="591"/>
      <c r="F14" s="591"/>
      <c r="G14" s="591"/>
      <c r="H14" s="591"/>
      <c r="I14" s="591"/>
      <c r="J14" s="591"/>
      <c r="K14" s="591"/>
      <c r="L14" s="592"/>
    </row>
    <row r="15" spans="1:12" ht="21.95" customHeight="1">
      <c r="A15" s="590"/>
      <c r="B15" s="591"/>
      <c r="C15" s="591"/>
      <c r="D15" s="591"/>
      <c r="E15" s="591"/>
      <c r="F15" s="591"/>
      <c r="G15" s="591"/>
      <c r="H15" s="591"/>
      <c r="I15" s="591"/>
      <c r="J15" s="591"/>
      <c r="K15" s="591"/>
      <c r="L15" s="592"/>
    </row>
    <row r="16" spans="1:12" ht="21.95" customHeight="1">
      <c r="A16" s="590"/>
      <c r="B16" s="591"/>
      <c r="C16" s="591"/>
      <c r="D16" s="591"/>
      <c r="E16" s="591"/>
      <c r="F16" s="591"/>
      <c r="G16" s="591"/>
      <c r="H16" s="591"/>
      <c r="I16" s="591"/>
      <c r="J16" s="591"/>
      <c r="K16" s="591"/>
      <c r="L16" s="592"/>
    </row>
    <row r="17" spans="1:12" ht="21.95" customHeight="1">
      <c r="A17" s="590"/>
      <c r="B17" s="591"/>
      <c r="C17" s="591"/>
      <c r="D17" s="591"/>
      <c r="E17" s="591"/>
      <c r="F17" s="591"/>
      <c r="G17" s="591"/>
      <c r="H17" s="591"/>
      <c r="I17" s="591"/>
      <c r="J17" s="591"/>
      <c r="K17" s="591"/>
      <c r="L17" s="592"/>
    </row>
    <row r="18" spans="1:12" ht="21.95" customHeight="1">
      <c r="A18" s="590"/>
      <c r="B18" s="591"/>
      <c r="C18" s="591"/>
      <c r="D18" s="591"/>
      <c r="E18" s="591"/>
      <c r="F18" s="591"/>
      <c r="G18" s="591"/>
      <c r="H18" s="591"/>
      <c r="I18" s="591"/>
      <c r="J18" s="591"/>
      <c r="K18" s="591"/>
      <c r="L18" s="592"/>
    </row>
    <row r="19" spans="1:12" ht="21.95" customHeight="1">
      <c r="A19" s="590"/>
      <c r="B19" s="591"/>
      <c r="C19" s="591"/>
      <c r="D19" s="591"/>
      <c r="E19" s="591"/>
      <c r="F19" s="591"/>
      <c r="G19" s="591"/>
      <c r="H19" s="591"/>
      <c r="I19" s="591"/>
      <c r="J19" s="591"/>
      <c r="K19" s="591"/>
      <c r="L19" s="592"/>
    </row>
    <row r="20" spans="1:12" ht="21.95" customHeight="1">
      <c r="A20" s="590"/>
      <c r="B20" s="591"/>
      <c r="C20" s="591"/>
      <c r="D20" s="591"/>
      <c r="E20" s="591"/>
      <c r="F20" s="591"/>
      <c r="G20" s="591"/>
      <c r="H20" s="591"/>
      <c r="I20" s="591"/>
      <c r="J20" s="591"/>
      <c r="K20" s="591"/>
      <c r="L20" s="592"/>
    </row>
    <row r="21" spans="1:12" ht="21.95" customHeight="1">
      <c r="A21" s="590"/>
      <c r="B21" s="591"/>
      <c r="C21" s="591"/>
      <c r="D21" s="591"/>
      <c r="E21" s="591"/>
      <c r="F21" s="591"/>
      <c r="G21" s="591"/>
      <c r="H21" s="591"/>
      <c r="I21" s="591"/>
      <c r="J21" s="591"/>
      <c r="K21" s="591"/>
      <c r="L21" s="592"/>
    </row>
    <row r="22" spans="1:12" ht="21.95" customHeight="1">
      <c r="A22" s="590"/>
      <c r="B22" s="591"/>
      <c r="C22" s="591"/>
      <c r="D22" s="591"/>
      <c r="E22" s="591"/>
      <c r="F22" s="591"/>
      <c r="G22" s="591"/>
      <c r="H22" s="591"/>
      <c r="I22" s="591"/>
      <c r="J22" s="591"/>
      <c r="K22" s="591"/>
      <c r="L22" s="592"/>
    </row>
    <row r="23" spans="1:12" ht="21.95" customHeight="1">
      <c r="A23" s="590"/>
      <c r="B23" s="591"/>
      <c r="C23" s="591"/>
      <c r="D23" s="591"/>
      <c r="E23" s="591"/>
      <c r="F23" s="591"/>
      <c r="G23" s="591"/>
      <c r="H23" s="591"/>
      <c r="I23" s="591"/>
      <c r="J23" s="591"/>
      <c r="K23" s="591"/>
      <c r="L23" s="592"/>
    </row>
    <row r="24" spans="1:12" ht="21.95" customHeight="1">
      <c r="A24" s="593"/>
      <c r="B24" s="594"/>
      <c r="C24" s="594"/>
      <c r="D24" s="594"/>
      <c r="E24" s="594"/>
      <c r="F24" s="594"/>
      <c r="G24" s="594"/>
      <c r="H24" s="594"/>
      <c r="I24" s="594"/>
      <c r="J24" s="594"/>
      <c r="K24" s="594"/>
      <c r="L24" s="595"/>
    </row>
  </sheetData>
  <mergeCells count="2">
    <mergeCell ref="A1:L1"/>
    <mergeCell ref="A2:L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06A3E-D5D0-438C-A834-B7DF435E2778}">
  <sheetPr>
    <tabColor rgb="FF2F5597"/>
  </sheetPr>
  <dimension ref="A1:K14"/>
  <sheetViews>
    <sheetView workbookViewId="0">
      <selection sqref="A1:K1"/>
    </sheetView>
  </sheetViews>
  <sheetFormatPr defaultRowHeight="15"/>
  <cols>
    <col min="1" max="1" width="5.28515625" customWidth="1"/>
    <col min="2" max="2" width="8.42578125" customWidth="1"/>
    <col min="3" max="3" width="17.140625" customWidth="1"/>
    <col min="4" max="4" width="6.85546875" customWidth="1"/>
    <col min="5" max="5" width="5.28515625" customWidth="1"/>
    <col min="6" max="6" width="6.85546875" customWidth="1"/>
    <col min="7" max="7" width="5.28515625" customWidth="1"/>
    <col min="8" max="8" width="3.85546875" customWidth="1"/>
    <col min="9" max="9" width="19" customWidth="1"/>
    <col min="10" max="10" width="9.5703125" customWidth="1"/>
    <col min="11" max="11" width="7.5703125" customWidth="1"/>
  </cols>
  <sheetData>
    <row r="1" spans="1:11" ht="32.1" customHeight="1">
      <c r="A1" s="583" t="s">
        <v>4214</v>
      </c>
      <c r="B1" s="583"/>
      <c r="C1" s="583"/>
      <c r="D1" s="583"/>
      <c r="E1" s="583"/>
      <c r="F1" s="583"/>
      <c r="G1" s="583"/>
      <c r="H1" s="583"/>
      <c r="I1" s="583"/>
      <c r="J1" s="583"/>
      <c r="K1" s="583"/>
    </row>
    <row r="2" spans="1:11" ht="21.95" customHeight="1">
      <c r="A2" s="584" t="s">
        <v>4215</v>
      </c>
      <c r="B2" s="584"/>
      <c r="C2" s="584"/>
      <c r="D2" s="584"/>
      <c r="E2" s="584"/>
      <c r="F2" s="584"/>
      <c r="G2" s="584"/>
      <c r="H2" s="584"/>
      <c r="I2" s="584"/>
      <c r="J2" s="584"/>
      <c r="K2" s="584"/>
    </row>
    <row r="3" spans="1:11" ht="30" customHeight="1">
      <c r="A3" s="430" t="s">
        <v>2454</v>
      </c>
      <c r="B3" s="431" t="s">
        <v>301</v>
      </c>
      <c r="C3" s="431" t="s">
        <v>410</v>
      </c>
      <c r="D3" s="431" t="s">
        <v>2455</v>
      </c>
      <c r="E3" s="431" t="s">
        <v>2456</v>
      </c>
      <c r="F3" s="431" t="s">
        <v>2457</v>
      </c>
      <c r="G3" s="431" t="s">
        <v>2458</v>
      </c>
      <c r="H3" s="431" t="s">
        <v>304</v>
      </c>
      <c r="I3" s="431" t="s">
        <v>2459</v>
      </c>
      <c r="J3" s="431" t="s">
        <v>1036</v>
      </c>
      <c r="K3" s="586" t="s">
        <v>17</v>
      </c>
    </row>
    <row r="4" spans="1:11" ht="44.1" customHeight="1">
      <c r="A4" s="587" t="s">
        <v>4216</v>
      </c>
      <c r="B4" s="588" t="s">
        <v>4217</v>
      </c>
      <c r="C4" s="588" t="s">
        <v>4218</v>
      </c>
      <c r="D4" s="588" t="s">
        <v>4219</v>
      </c>
      <c r="E4" s="588" t="s">
        <v>4220</v>
      </c>
      <c r="F4" s="588" t="s">
        <v>4221</v>
      </c>
      <c r="G4" s="588" t="s">
        <v>4220</v>
      </c>
      <c r="H4" s="588" t="s">
        <v>4222</v>
      </c>
      <c r="I4" s="588" t="s">
        <v>4223</v>
      </c>
      <c r="J4" s="588" t="s">
        <v>4224</v>
      </c>
      <c r="K4" s="589" t="s">
        <v>4225</v>
      </c>
    </row>
    <row r="5" spans="1:11" ht="21.95" customHeight="1">
      <c r="A5" s="590"/>
      <c r="B5" s="591"/>
      <c r="C5" s="591"/>
      <c r="D5" s="591"/>
      <c r="E5" s="591"/>
      <c r="F5" s="591"/>
      <c r="G5" s="591"/>
      <c r="H5" s="591"/>
      <c r="I5" s="591"/>
      <c r="J5" s="591"/>
      <c r="K5" s="592"/>
    </row>
    <row r="6" spans="1:11" ht="21.95" customHeight="1">
      <c r="A6" s="590"/>
      <c r="B6" s="591"/>
      <c r="C6" s="591"/>
      <c r="D6" s="591"/>
      <c r="E6" s="591"/>
      <c r="F6" s="591"/>
      <c r="G6" s="591"/>
      <c r="H6" s="591"/>
      <c r="I6" s="591"/>
      <c r="J6" s="591"/>
      <c r="K6" s="592"/>
    </row>
    <row r="7" spans="1:11" ht="21.95" customHeight="1">
      <c r="A7" s="590"/>
      <c r="B7" s="591"/>
      <c r="C7" s="591"/>
      <c r="D7" s="591"/>
      <c r="E7" s="591"/>
      <c r="F7" s="591"/>
      <c r="G7" s="591"/>
      <c r="H7" s="591"/>
      <c r="I7" s="591"/>
      <c r="J7" s="591"/>
      <c r="K7" s="592"/>
    </row>
    <row r="8" spans="1:11" ht="21.95" customHeight="1">
      <c r="A8" s="590"/>
      <c r="B8" s="591"/>
      <c r="C8" s="591"/>
      <c r="D8" s="591"/>
      <c r="E8" s="591"/>
      <c r="F8" s="591"/>
      <c r="G8" s="591"/>
      <c r="H8" s="591"/>
      <c r="I8" s="591"/>
      <c r="J8" s="591"/>
      <c r="K8" s="592"/>
    </row>
    <row r="9" spans="1:11" ht="21.95" customHeight="1">
      <c r="A9" s="590"/>
      <c r="B9" s="591"/>
      <c r="C9" s="591"/>
      <c r="D9" s="591"/>
      <c r="E9" s="591"/>
      <c r="F9" s="591"/>
      <c r="G9" s="591"/>
      <c r="H9" s="591"/>
      <c r="I9" s="591"/>
      <c r="J9" s="591"/>
      <c r="K9" s="592"/>
    </row>
    <row r="10" spans="1:11" ht="21.95" customHeight="1">
      <c r="A10" s="590"/>
      <c r="B10" s="591"/>
      <c r="C10" s="591"/>
      <c r="D10" s="591"/>
      <c r="E10" s="591"/>
      <c r="F10" s="591"/>
      <c r="G10" s="591"/>
      <c r="H10" s="591"/>
      <c r="I10" s="591"/>
      <c r="J10" s="591"/>
      <c r="K10" s="592"/>
    </row>
    <row r="11" spans="1:11" ht="21.95" customHeight="1">
      <c r="A11" s="590"/>
      <c r="B11" s="591"/>
      <c r="C11" s="591"/>
      <c r="D11" s="591"/>
      <c r="E11" s="591"/>
      <c r="F11" s="591"/>
      <c r="G11" s="591"/>
      <c r="H11" s="591"/>
      <c r="I11" s="591"/>
      <c r="J11" s="591"/>
      <c r="K11" s="592"/>
    </row>
    <row r="12" spans="1:11" ht="21.95" customHeight="1">
      <c r="A12" s="590"/>
      <c r="B12" s="591"/>
      <c r="C12" s="591"/>
      <c r="D12" s="591"/>
      <c r="E12" s="591"/>
      <c r="F12" s="591"/>
      <c r="G12" s="591"/>
      <c r="H12" s="591"/>
      <c r="I12" s="591"/>
      <c r="J12" s="591"/>
      <c r="K12" s="592"/>
    </row>
    <row r="13" spans="1:11" ht="21.95" customHeight="1">
      <c r="A13" s="590"/>
      <c r="B13" s="591"/>
      <c r="C13" s="591"/>
      <c r="D13" s="591"/>
      <c r="E13" s="591"/>
      <c r="F13" s="591"/>
      <c r="G13" s="591"/>
      <c r="H13" s="591"/>
      <c r="I13" s="591"/>
      <c r="J13" s="591"/>
      <c r="K13" s="592"/>
    </row>
    <row r="14" spans="1:11" ht="21.95" customHeight="1">
      <c r="A14" s="593"/>
      <c r="B14" s="594"/>
      <c r="C14" s="594"/>
      <c r="D14" s="594"/>
      <c r="E14" s="594"/>
      <c r="F14" s="594"/>
      <c r="G14" s="594"/>
      <c r="H14" s="594"/>
      <c r="I14" s="594"/>
      <c r="J14" s="594"/>
      <c r="K14" s="595"/>
    </row>
  </sheetData>
  <mergeCells count="2">
    <mergeCell ref="A1:K1"/>
    <mergeCell ref="A2:K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BF86A-2EB5-4F76-B03A-92FDC95E04E3}">
  <sheetPr>
    <tabColor rgb="FF2F5597"/>
  </sheetPr>
  <dimension ref="A1:L19"/>
  <sheetViews>
    <sheetView workbookViewId="0">
      <selection sqref="A1:L1"/>
    </sheetView>
  </sheetViews>
  <sheetFormatPr defaultRowHeight="15"/>
  <cols>
    <col min="1" max="1" width="5.28515625" customWidth="1"/>
    <col min="2" max="2" width="10.7109375" customWidth="1"/>
    <col min="3" max="3" width="11.42578125" customWidth="1"/>
    <col min="4" max="4" width="10.7109375" customWidth="1"/>
    <col min="5" max="5" width="7.5703125" customWidth="1"/>
    <col min="6" max="8" width="5.28515625" customWidth="1"/>
    <col min="9" max="9" width="4.5703125" customWidth="1"/>
    <col min="10" max="10" width="7.5703125" customWidth="1"/>
    <col min="11" max="11" width="9.5703125" customWidth="1"/>
    <col min="12" max="12" width="15.28515625" customWidth="1"/>
  </cols>
  <sheetData>
    <row r="1" spans="1:12" ht="32.1" customHeight="1">
      <c r="A1" s="583" t="s">
        <v>4226</v>
      </c>
      <c r="B1" s="583"/>
      <c r="C1" s="583"/>
      <c r="D1" s="583"/>
      <c r="E1" s="583"/>
      <c r="F1" s="583"/>
      <c r="G1" s="583"/>
      <c r="H1" s="583"/>
      <c r="I1" s="583"/>
      <c r="J1" s="583"/>
      <c r="K1" s="583"/>
      <c r="L1" s="583"/>
    </row>
    <row r="2" spans="1:12" ht="21.95" customHeight="1">
      <c r="A2" s="584" t="s">
        <v>4227</v>
      </c>
      <c r="B2" s="584"/>
      <c r="C2" s="584"/>
      <c r="D2" s="584"/>
      <c r="E2" s="584"/>
      <c r="F2" s="584"/>
      <c r="G2" s="584"/>
      <c r="H2" s="584"/>
      <c r="I2" s="584"/>
      <c r="J2" s="584"/>
      <c r="K2" s="584"/>
      <c r="L2" s="584"/>
    </row>
    <row r="3" spans="1:12" ht="30" customHeight="1">
      <c r="A3" s="430" t="s">
        <v>2990</v>
      </c>
      <c r="B3" s="431" t="s">
        <v>2991</v>
      </c>
      <c r="C3" s="431" t="s">
        <v>2992</v>
      </c>
      <c r="D3" s="431" t="s">
        <v>2993</v>
      </c>
      <c r="E3" s="431" t="s">
        <v>17</v>
      </c>
      <c r="F3" s="431" t="s">
        <v>2994</v>
      </c>
      <c r="G3" s="431" t="s">
        <v>2995</v>
      </c>
      <c r="H3" s="431" t="s">
        <v>277</v>
      </c>
      <c r="I3" s="431" t="s">
        <v>2996</v>
      </c>
      <c r="J3" s="431" t="s">
        <v>2997</v>
      </c>
      <c r="K3" s="431" t="s">
        <v>2998</v>
      </c>
      <c r="L3" s="586" t="s">
        <v>2903</v>
      </c>
    </row>
    <row r="4" spans="1:12" ht="44.1" customHeight="1">
      <c r="A4" s="587" t="s">
        <v>4228</v>
      </c>
      <c r="B4" s="588" t="s">
        <v>4229</v>
      </c>
      <c r="C4" s="588" t="s">
        <v>4230</v>
      </c>
      <c r="D4" s="588" t="s">
        <v>4231</v>
      </c>
      <c r="E4" s="588" t="s">
        <v>4232</v>
      </c>
      <c r="F4" s="588" t="s">
        <v>4233</v>
      </c>
      <c r="G4" s="588" t="s">
        <v>4234</v>
      </c>
      <c r="H4" s="588" t="s">
        <v>4235</v>
      </c>
      <c r="I4" s="588" t="s">
        <v>4236</v>
      </c>
      <c r="J4" s="588" t="s">
        <v>4237</v>
      </c>
      <c r="K4" s="588" t="s">
        <v>4238</v>
      </c>
      <c r="L4" s="589" t="s">
        <v>4239</v>
      </c>
    </row>
    <row r="5" spans="1:12" ht="21.95" customHeight="1">
      <c r="A5" s="590"/>
      <c r="B5" s="591"/>
      <c r="C5" s="591"/>
      <c r="D5" s="591"/>
      <c r="E5" s="591"/>
      <c r="F5" s="591"/>
      <c r="G5" s="591"/>
      <c r="H5" s="591"/>
      <c r="I5" s="591"/>
      <c r="J5" s="591"/>
      <c r="K5" s="591"/>
      <c r="L5" s="592"/>
    </row>
    <row r="6" spans="1:12" ht="21.95" customHeight="1">
      <c r="A6" s="590"/>
      <c r="B6" s="591"/>
      <c r="C6" s="591"/>
      <c r="D6" s="591"/>
      <c r="E6" s="591"/>
      <c r="F6" s="591"/>
      <c r="G6" s="591"/>
      <c r="H6" s="591"/>
      <c r="I6" s="591"/>
      <c r="J6" s="591"/>
      <c r="K6" s="591"/>
      <c r="L6" s="592"/>
    </row>
    <row r="7" spans="1:12" ht="21.95" customHeight="1">
      <c r="A7" s="590"/>
      <c r="B7" s="591"/>
      <c r="C7" s="591"/>
      <c r="D7" s="591"/>
      <c r="E7" s="591"/>
      <c r="F7" s="591"/>
      <c r="G7" s="591"/>
      <c r="H7" s="591"/>
      <c r="I7" s="591"/>
      <c r="J7" s="591"/>
      <c r="K7" s="591"/>
      <c r="L7" s="592"/>
    </row>
    <row r="8" spans="1:12" ht="21.95" customHeight="1">
      <c r="A8" s="590"/>
      <c r="B8" s="591"/>
      <c r="C8" s="591"/>
      <c r="D8" s="591"/>
      <c r="E8" s="591"/>
      <c r="F8" s="591"/>
      <c r="G8" s="591"/>
      <c r="H8" s="591"/>
      <c r="I8" s="591"/>
      <c r="J8" s="591"/>
      <c r="K8" s="591"/>
      <c r="L8" s="592"/>
    </row>
    <row r="9" spans="1:12" ht="21.95" customHeight="1">
      <c r="A9" s="590"/>
      <c r="B9" s="591"/>
      <c r="C9" s="591"/>
      <c r="D9" s="591"/>
      <c r="E9" s="591"/>
      <c r="F9" s="591"/>
      <c r="G9" s="591"/>
      <c r="H9" s="591"/>
      <c r="I9" s="591"/>
      <c r="J9" s="591"/>
      <c r="K9" s="591"/>
      <c r="L9" s="592"/>
    </row>
    <row r="10" spans="1:12" ht="21.95" customHeight="1">
      <c r="A10" s="590"/>
      <c r="B10" s="591"/>
      <c r="C10" s="591"/>
      <c r="D10" s="591"/>
      <c r="E10" s="591"/>
      <c r="F10" s="591"/>
      <c r="G10" s="591"/>
      <c r="H10" s="591"/>
      <c r="I10" s="591"/>
      <c r="J10" s="591"/>
      <c r="K10" s="591"/>
      <c r="L10" s="592"/>
    </row>
    <row r="11" spans="1:12" ht="21.95" customHeight="1">
      <c r="A11" s="590"/>
      <c r="B11" s="591"/>
      <c r="C11" s="591"/>
      <c r="D11" s="591"/>
      <c r="E11" s="591"/>
      <c r="F11" s="591"/>
      <c r="G11" s="591"/>
      <c r="H11" s="591"/>
      <c r="I11" s="591"/>
      <c r="J11" s="591"/>
      <c r="K11" s="591"/>
      <c r="L11" s="592"/>
    </row>
    <row r="12" spans="1:12" ht="21.95" customHeight="1">
      <c r="A12" s="590"/>
      <c r="B12" s="591"/>
      <c r="C12" s="591"/>
      <c r="D12" s="591"/>
      <c r="E12" s="591"/>
      <c r="F12" s="591"/>
      <c r="G12" s="591"/>
      <c r="H12" s="591"/>
      <c r="I12" s="591"/>
      <c r="J12" s="591"/>
      <c r="K12" s="591"/>
      <c r="L12" s="592"/>
    </row>
    <row r="13" spans="1:12" ht="21.95" customHeight="1">
      <c r="A13" s="590"/>
      <c r="B13" s="591"/>
      <c r="C13" s="591"/>
      <c r="D13" s="591"/>
      <c r="E13" s="591"/>
      <c r="F13" s="591"/>
      <c r="G13" s="591"/>
      <c r="H13" s="591"/>
      <c r="I13" s="591"/>
      <c r="J13" s="591"/>
      <c r="K13" s="591"/>
      <c r="L13" s="592"/>
    </row>
    <row r="14" spans="1:12" ht="21.95" customHeight="1">
      <c r="A14" s="590"/>
      <c r="B14" s="591"/>
      <c r="C14" s="591"/>
      <c r="D14" s="591"/>
      <c r="E14" s="591"/>
      <c r="F14" s="591"/>
      <c r="G14" s="591"/>
      <c r="H14" s="591"/>
      <c r="I14" s="591"/>
      <c r="J14" s="591"/>
      <c r="K14" s="591"/>
      <c r="L14" s="592"/>
    </row>
    <row r="15" spans="1:12" ht="21.95" customHeight="1">
      <c r="A15" s="590"/>
      <c r="B15" s="591"/>
      <c r="C15" s="591"/>
      <c r="D15" s="591"/>
      <c r="E15" s="591"/>
      <c r="F15" s="591"/>
      <c r="G15" s="591"/>
      <c r="H15" s="591"/>
      <c r="I15" s="591"/>
      <c r="J15" s="591"/>
      <c r="K15" s="591"/>
      <c r="L15" s="592"/>
    </row>
    <row r="16" spans="1:12" ht="21.95" customHeight="1">
      <c r="A16" s="590"/>
      <c r="B16" s="591"/>
      <c r="C16" s="591"/>
      <c r="D16" s="591"/>
      <c r="E16" s="591"/>
      <c r="F16" s="591"/>
      <c r="G16" s="591"/>
      <c r="H16" s="591"/>
      <c r="I16" s="591"/>
      <c r="J16" s="591"/>
      <c r="K16" s="591"/>
      <c r="L16" s="592"/>
    </row>
    <row r="17" spans="1:12" ht="21.95" customHeight="1">
      <c r="A17" s="590"/>
      <c r="B17" s="591"/>
      <c r="C17" s="591"/>
      <c r="D17" s="591"/>
      <c r="E17" s="591"/>
      <c r="F17" s="591"/>
      <c r="G17" s="591"/>
      <c r="H17" s="591"/>
      <c r="I17" s="591"/>
      <c r="J17" s="591"/>
      <c r="K17" s="591"/>
      <c r="L17" s="592"/>
    </row>
    <row r="18" spans="1:12" ht="21.95" customHeight="1">
      <c r="A18" s="590"/>
      <c r="B18" s="591"/>
      <c r="C18" s="591"/>
      <c r="D18" s="591"/>
      <c r="E18" s="591"/>
      <c r="F18" s="591"/>
      <c r="G18" s="591"/>
      <c r="H18" s="591"/>
      <c r="I18" s="591"/>
      <c r="J18" s="591"/>
      <c r="K18" s="591"/>
      <c r="L18" s="592"/>
    </row>
    <row r="19" spans="1:12" ht="21.95" customHeight="1">
      <c r="A19" s="593"/>
      <c r="B19" s="594"/>
      <c r="C19" s="594"/>
      <c r="D19" s="594"/>
      <c r="E19" s="594"/>
      <c r="F19" s="594"/>
      <c r="G19" s="594"/>
      <c r="H19" s="594"/>
      <c r="I19" s="594"/>
      <c r="J19" s="594"/>
      <c r="K19" s="594"/>
      <c r="L19" s="595"/>
    </row>
  </sheetData>
  <mergeCells count="2">
    <mergeCell ref="A1:L1"/>
    <mergeCell ref="A2:L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ABB58-EA23-460B-AE7E-95225DF13685}">
  <sheetPr>
    <tabColor rgb="FF2F5597"/>
  </sheetPr>
  <dimension ref="A1:K19"/>
  <sheetViews>
    <sheetView workbookViewId="0">
      <selection sqref="A1:K1"/>
    </sheetView>
  </sheetViews>
  <sheetFormatPr defaultRowHeight="15"/>
  <cols>
    <col min="1" max="1" width="5.28515625" customWidth="1"/>
    <col min="2" max="2" width="11.42578125" customWidth="1"/>
    <col min="3" max="4" width="5.28515625" customWidth="1"/>
    <col min="5" max="5" width="7.5703125" customWidth="1"/>
    <col min="6" max="6" width="17.140625" customWidth="1"/>
    <col min="7" max="7" width="13.28515625" customWidth="1"/>
    <col min="8" max="8" width="5.7109375" customWidth="1"/>
    <col min="9" max="10" width="13.28515625" customWidth="1"/>
    <col min="11" max="11" width="11.42578125" customWidth="1"/>
  </cols>
  <sheetData>
    <row r="1" spans="1:11" ht="32.1" customHeight="1">
      <c r="A1" s="583" t="s">
        <v>4240</v>
      </c>
      <c r="B1" s="583"/>
      <c r="C1" s="583"/>
      <c r="D1" s="583"/>
      <c r="E1" s="583"/>
      <c r="F1" s="583"/>
      <c r="G1" s="583"/>
      <c r="H1" s="583"/>
      <c r="I1" s="583"/>
      <c r="J1" s="583"/>
      <c r="K1" s="583"/>
    </row>
    <row r="2" spans="1:11" ht="21.95" customHeight="1">
      <c r="A2" s="584" t="s">
        <v>4241</v>
      </c>
      <c r="B2" s="584"/>
      <c r="C2" s="584"/>
      <c r="D2" s="584"/>
      <c r="E2" s="584"/>
      <c r="F2" s="584"/>
      <c r="G2" s="584"/>
      <c r="H2" s="584"/>
      <c r="I2" s="584"/>
      <c r="J2" s="584"/>
      <c r="K2" s="584"/>
    </row>
    <row r="3" spans="1:11" ht="30" customHeight="1">
      <c r="A3" s="430" t="s">
        <v>2802</v>
      </c>
      <c r="B3" s="431" t="s">
        <v>2803</v>
      </c>
      <c r="C3" s="431" t="s">
        <v>2804</v>
      </c>
      <c r="D3" s="431" t="s">
        <v>2805</v>
      </c>
      <c r="E3" s="431" t="s">
        <v>871</v>
      </c>
      <c r="F3" s="431" t="s">
        <v>2806</v>
      </c>
      <c r="G3" s="431" t="s">
        <v>2807</v>
      </c>
      <c r="H3" s="431" t="s">
        <v>2808</v>
      </c>
      <c r="I3" s="431" t="s">
        <v>2809</v>
      </c>
      <c r="J3" s="431" t="s">
        <v>2810</v>
      </c>
      <c r="K3" s="586" t="s">
        <v>2811</v>
      </c>
    </row>
    <row r="4" spans="1:11" ht="44.1" customHeight="1">
      <c r="A4" s="587" t="s">
        <v>4242</v>
      </c>
      <c r="B4" s="588" t="s">
        <v>4243</v>
      </c>
      <c r="C4" s="588" t="s">
        <v>4244</v>
      </c>
      <c r="D4" s="588" t="s">
        <v>4245</v>
      </c>
      <c r="E4" s="588" t="s">
        <v>4246</v>
      </c>
      <c r="F4" s="588" t="s">
        <v>4247</v>
      </c>
      <c r="G4" s="588" t="s">
        <v>4248</v>
      </c>
      <c r="H4" s="588" t="s">
        <v>4249</v>
      </c>
      <c r="I4" s="588" t="s">
        <v>4250</v>
      </c>
      <c r="J4" s="588" t="s">
        <v>4251</v>
      </c>
      <c r="K4" s="589" t="s">
        <v>4252</v>
      </c>
    </row>
    <row r="5" spans="1:11" ht="21.95" customHeight="1">
      <c r="A5" s="590"/>
      <c r="B5" s="591"/>
      <c r="C5" s="591"/>
      <c r="D5" s="591"/>
      <c r="E5" s="591"/>
      <c r="F5" s="591"/>
      <c r="G5" s="591"/>
      <c r="H5" s="591"/>
      <c r="I5" s="591"/>
      <c r="J5" s="591"/>
      <c r="K5" s="592"/>
    </row>
    <row r="6" spans="1:11" ht="21.95" customHeight="1">
      <c r="A6" s="590"/>
      <c r="B6" s="591"/>
      <c r="C6" s="591"/>
      <c r="D6" s="591"/>
      <c r="E6" s="591"/>
      <c r="F6" s="591"/>
      <c r="G6" s="591"/>
      <c r="H6" s="591"/>
      <c r="I6" s="591"/>
      <c r="J6" s="591"/>
      <c r="K6" s="592"/>
    </row>
    <row r="7" spans="1:11" ht="21.95" customHeight="1">
      <c r="A7" s="590"/>
      <c r="B7" s="591"/>
      <c r="C7" s="591"/>
      <c r="D7" s="591"/>
      <c r="E7" s="591"/>
      <c r="F7" s="591"/>
      <c r="G7" s="591"/>
      <c r="H7" s="591"/>
      <c r="I7" s="591"/>
      <c r="J7" s="591"/>
      <c r="K7" s="592"/>
    </row>
    <row r="8" spans="1:11" ht="21.95" customHeight="1">
      <c r="A8" s="590"/>
      <c r="B8" s="591"/>
      <c r="C8" s="591"/>
      <c r="D8" s="591"/>
      <c r="E8" s="591"/>
      <c r="F8" s="591"/>
      <c r="G8" s="591"/>
      <c r="H8" s="591"/>
      <c r="I8" s="591"/>
      <c r="J8" s="591"/>
      <c r="K8" s="592"/>
    </row>
    <row r="9" spans="1:11" ht="21.95" customHeight="1">
      <c r="A9" s="590"/>
      <c r="B9" s="591"/>
      <c r="C9" s="591"/>
      <c r="D9" s="591"/>
      <c r="E9" s="591"/>
      <c r="F9" s="591"/>
      <c r="G9" s="591"/>
      <c r="H9" s="591"/>
      <c r="I9" s="591"/>
      <c r="J9" s="591"/>
      <c r="K9" s="592"/>
    </row>
    <row r="10" spans="1:11" ht="21.95" customHeight="1">
      <c r="A10" s="590"/>
      <c r="B10" s="591"/>
      <c r="C10" s="591"/>
      <c r="D10" s="591"/>
      <c r="E10" s="591"/>
      <c r="F10" s="591"/>
      <c r="G10" s="591"/>
      <c r="H10" s="591"/>
      <c r="I10" s="591"/>
      <c r="J10" s="591"/>
      <c r="K10" s="592"/>
    </row>
    <row r="11" spans="1:11" ht="21.95" customHeight="1">
      <c r="A11" s="590"/>
      <c r="B11" s="591"/>
      <c r="C11" s="591"/>
      <c r="D11" s="591"/>
      <c r="E11" s="591"/>
      <c r="F11" s="591"/>
      <c r="G11" s="591"/>
      <c r="H11" s="591"/>
      <c r="I11" s="591"/>
      <c r="J11" s="591"/>
      <c r="K11" s="592"/>
    </row>
    <row r="12" spans="1:11" ht="21.95" customHeight="1">
      <c r="A12" s="590"/>
      <c r="B12" s="591"/>
      <c r="C12" s="591"/>
      <c r="D12" s="591"/>
      <c r="E12" s="591"/>
      <c r="F12" s="591"/>
      <c r="G12" s="591"/>
      <c r="H12" s="591"/>
      <c r="I12" s="591"/>
      <c r="J12" s="591"/>
      <c r="K12" s="592"/>
    </row>
    <row r="13" spans="1:11" ht="21.95" customHeight="1">
      <c r="A13" s="590"/>
      <c r="B13" s="591"/>
      <c r="C13" s="591"/>
      <c r="D13" s="591"/>
      <c r="E13" s="591"/>
      <c r="F13" s="591"/>
      <c r="G13" s="591"/>
      <c r="H13" s="591"/>
      <c r="I13" s="591"/>
      <c r="J13" s="591"/>
      <c r="K13" s="592"/>
    </row>
    <row r="14" spans="1:11" ht="21.95" customHeight="1">
      <c r="A14" s="590"/>
      <c r="B14" s="591"/>
      <c r="C14" s="591"/>
      <c r="D14" s="591"/>
      <c r="E14" s="591"/>
      <c r="F14" s="591"/>
      <c r="G14" s="591"/>
      <c r="H14" s="591"/>
      <c r="I14" s="591"/>
      <c r="J14" s="591"/>
      <c r="K14" s="592"/>
    </row>
    <row r="15" spans="1:11" ht="21.95" customHeight="1">
      <c r="A15" s="590"/>
      <c r="B15" s="591"/>
      <c r="C15" s="591"/>
      <c r="D15" s="591"/>
      <c r="E15" s="591"/>
      <c r="F15" s="591"/>
      <c r="G15" s="591"/>
      <c r="H15" s="591"/>
      <c r="I15" s="591"/>
      <c r="J15" s="591"/>
      <c r="K15" s="592"/>
    </row>
    <row r="16" spans="1:11" ht="21.95" customHeight="1">
      <c r="A16" s="590"/>
      <c r="B16" s="591"/>
      <c r="C16" s="591"/>
      <c r="D16" s="591"/>
      <c r="E16" s="591"/>
      <c r="F16" s="591"/>
      <c r="G16" s="591"/>
      <c r="H16" s="591"/>
      <c r="I16" s="591"/>
      <c r="J16" s="591"/>
      <c r="K16" s="592"/>
    </row>
    <row r="17" spans="1:11" ht="21.95" customHeight="1">
      <c r="A17" s="590"/>
      <c r="B17" s="591"/>
      <c r="C17" s="591"/>
      <c r="D17" s="591"/>
      <c r="E17" s="591"/>
      <c r="F17" s="591"/>
      <c r="G17" s="591"/>
      <c r="H17" s="591"/>
      <c r="I17" s="591"/>
      <c r="J17" s="591"/>
      <c r="K17" s="592"/>
    </row>
    <row r="18" spans="1:11" ht="21.95" customHeight="1">
      <c r="A18" s="590"/>
      <c r="B18" s="591"/>
      <c r="C18" s="591"/>
      <c r="D18" s="591"/>
      <c r="E18" s="591"/>
      <c r="F18" s="591"/>
      <c r="G18" s="591"/>
      <c r="H18" s="591"/>
      <c r="I18" s="591"/>
      <c r="J18" s="591"/>
      <c r="K18" s="592"/>
    </row>
    <row r="19" spans="1:11" ht="21.95" customHeight="1">
      <c r="A19" s="593"/>
      <c r="B19" s="594"/>
      <c r="C19" s="594"/>
      <c r="D19" s="594"/>
      <c r="E19" s="594"/>
      <c r="F19" s="594"/>
      <c r="G19" s="594"/>
      <c r="H19" s="594"/>
      <c r="I19" s="594"/>
      <c r="J19" s="594"/>
      <c r="K19" s="595"/>
    </row>
  </sheetData>
  <mergeCells count="2">
    <mergeCell ref="A1:K1"/>
    <mergeCell ref="A2:K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0CFC-B38F-49A2-AB19-6BE7A64C1F3F}">
  <sheetPr>
    <tabColor rgb="FF2F5597"/>
  </sheetPr>
  <dimension ref="A1:I24"/>
  <sheetViews>
    <sheetView workbookViewId="0">
      <selection sqref="A1:I1"/>
    </sheetView>
  </sheetViews>
  <sheetFormatPr defaultRowHeight="15"/>
  <cols>
    <col min="1" max="1" width="5.28515625" customWidth="1"/>
    <col min="2" max="2" width="13.28515625" customWidth="1"/>
    <col min="3" max="3" width="6.85546875" customWidth="1"/>
    <col min="4" max="4" width="5.28515625" customWidth="1"/>
    <col min="5" max="5" width="6.85546875" customWidth="1"/>
    <col min="6" max="6" width="6.42578125" customWidth="1"/>
    <col min="7" max="7" width="7.5703125" customWidth="1"/>
    <col min="8" max="8" width="5.28515625" customWidth="1"/>
    <col min="9" max="9" width="15.28515625" customWidth="1"/>
  </cols>
  <sheetData>
    <row r="1" spans="1:9" ht="32.1" customHeight="1">
      <c r="A1" s="583" t="s">
        <v>4253</v>
      </c>
      <c r="B1" s="583"/>
      <c r="C1" s="583"/>
      <c r="D1" s="583"/>
      <c r="E1" s="583"/>
      <c r="F1" s="583"/>
      <c r="G1" s="583"/>
      <c r="H1" s="583"/>
      <c r="I1" s="583"/>
    </row>
    <row r="2" spans="1:9" ht="21.95" customHeight="1">
      <c r="A2" s="584" t="s">
        <v>4254</v>
      </c>
      <c r="B2" s="584"/>
      <c r="C2" s="584"/>
      <c r="D2" s="584"/>
      <c r="E2" s="584"/>
      <c r="F2" s="584"/>
      <c r="G2" s="584"/>
      <c r="H2" s="584"/>
      <c r="I2" s="584"/>
    </row>
    <row r="3" spans="1:9" ht="30" customHeight="1">
      <c r="A3" s="430" t="s">
        <v>2899</v>
      </c>
      <c r="B3" s="431" t="s">
        <v>2900</v>
      </c>
      <c r="C3" s="431" t="s">
        <v>523</v>
      </c>
      <c r="D3" s="431" t="s">
        <v>2901</v>
      </c>
      <c r="E3" s="431" t="s">
        <v>4255</v>
      </c>
      <c r="F3" s="431" t="s">
        <v>2902</v>
      </c>
      <c r="G3" s="431" t="s">
        <v>17</v>
      </c>
      <c r="H3" s="431" t="s">
        <v>1002</v>
      </c>
      <c r="I3" s="586" t="s">
        <v>2903</v>
      </c>
    </row>
    <row r="4" spans="1:9" ht="44.1" customHeight="1">
      <c r="A4" s="587" t="s">
        <v>4256</v>
      </c>
      <c r="B4" s="588" t="s">
        <v>4257</v>
      </c>
      <c r="C4" s="588" t="s">
        <v>4258</v>
      </c>
      <c r="D4" s="588" t="s">
        <v>4259</v>
      </c>
      <c r="E4" s="588" t="s">
        <v>4260</v>
      </c>
      <c r="F4" s="588" t="s">
        <v>4261</v>
      </c>
      <c r="G4" s="588" t="s">
        <v>4262</v>
      </c>
      <c r="H4" s="588" t="s">
        <v>4263</v>
      </c>
      <c r="I4" s="589" t="s">
        <v>4264</v>
      </c>
    </row>
    <row r="5" spans="1:9" ht="21.95" customHeight="1">
      <c r="A5" s="590"/>
      <c r="B5" s="591"/>
      <c r="C5" s="591"/>
      <c r="D5" s="591"/>
      <c r="E5" s="591"/>
      <c r="F5" s="591"/>
      <c r="G5" s="591"/>
      <c r="H5" s="591"/>
      <c r="I5" s="592"/>
    </row>
    <row r="6" spans="1:9" ht="21.95" customHeight="1">
      <c r="A6" s="590"/>
      <c r="B6" s="591"/>
      <c r="C6" s="591"/>
      <c r="D6" s="591"/>
      <c r="E6" s="591"/>
      <c r="F6" s="591"/>
      <c r="G6" s="591"/>
      <c r="H6" s="591"/>
      <c r="I6" s="592"/>
    </row>
    <row r="7" spans="1:9" ht="21.95" customHeight="1">
      <c r="A7" s="590"/>
      <c r="B7" s="591"/>
      <c r="C7" s="591"/>
      <c r="D7" s="591"/>
      <c r="E7" s="591"/>
      <c r="F7" s="591"/>
      <c r="G7" s="591"/>
      <c r="H7" s="591"/>
      <c r="I7" s="592"/>
    </row>
    <row r="8" spans="1:9" ht="21.95" customHeight="1">
      <c r="A8" s="590"/>
      <c r="B8" s="591"/>
      <c r="C8" s="591"/>
      <c r="D8" s="591"/>
      <c r="E8" s="591"/>
      <c r="F8" s="591"/>
      <c r="G8" s="591"/>
      <c r="H8" s="591"/>
      <c r="I8" s="592"/>
    </row>
    <row r="9" spans="1:9" ht="21.95" customHeight="1">
      <c r="A9" s="590"/>
      <c r="B9" s="591"/>
      <c r="C9" s="591"/>
      <c r="D9" s="591"/>
      <c r="E9" s="591"/>
      <c r="F9" s="591"/>
      <c r="G9" s="591"/>
      <c r="H9" s="591"/>
      <c r="I9" s="592"/>
    </row>
    <row r="10" spans="1:9" ht="21.95" customHeight="1">
      <c r="A10" s="590"/>
      <c r="B10" s="591"/>
      <c r="C10" s="591"/>
      <c r="D10" s="591"/>
      <c r="E10" s="591"/>
      <c r="F10" s="591"/>
      <c r="G10" s="591"/>
      <c r="H10" s="591"/>
      <c r="I10" s="592"/>
    </row>
    <row r="11" spans="1:9" ht="21.95" customHeight="1">
      <c r="A11" s="590"/>
      <c r="B11" s="591"/>
      <c r="C11" s="591"/>
      <c r="D11" s="591"/>
      <c r="E11" s="591"/>
      <c r="F11" s="591"/>
      <c r="G11" s="591"/>
      <c r="H11" s="591"/>
      <c r="I11" s="592"/>
    </row>
    <row r="12" spans="1:9" ht="21.95" customHeight="1">
      <c r="A12" s="590"/>
      <c r="B12" s="591"/>
      <c r="C12" s="591"/>
      <c r="D12" s="591"/>
      <c r="E12" s="591"/>
      <c r="F12" s="591"/>
      <c r="G12" s="591"/>
      <c r="H12" s="591"/>
      <c r="I12" s="592"/>
    </row>
    <row r="13" spans="1:9" ht="21.95" customHeight="1">
      <c r="A13" s="590"/>
      <c r="B13" s="591"/>
      <c r="C13" s="591"/>
      <c r="D13" s="591"/>
      <c r="E13" s="591"/>
      <c r="F13" s="591"/>
      <c r="G13" s="591"/>
      <c r="H13" s="591"/>
      <c r="I13" s="592"/>
    </row>
    <row r="14" spans="1:9" ht="21.95" customHeight="1">
      <c r="A14" s="590"/>
      <c r="B14" s="591"/>
      <c r="C14" s="591"/>
      <c r="D14" s="591"/>
      <c r="E14" s="591"/>
      <c r="F14" s="591"/>
      <c r="G14" s="591"/>
      <c r="H14" s="591"/>
      <c r="I14" s="592"/>
    </row>
    <row r="15" spans="1:9" ht="21.95" customHeight="1">
      <c r="A15" s="590"/>
      <c r="B15" s="591"/>
      <c r="C15" s="591"/>
      <c r="D15" s="591"/>
      <c r="E15" s="591"/>
      <c r="F15" s="591"/>
      <c r="G15" s="591"/>
      <c r="H15" s="591"/>
      <c r="I15" s="592"/>
    </row>
    <row r="16" spans="1:9" ht="21.95" customHeight="1">
      <c r="A16" s="590"/>
      <c r="B16" s="591"/>
      <c r="C16" s="591"/>
      <c r="D16" s="591"/>
      <c r="E16" s="591"/>
      <c r="F16" s="591"/>
      <c r="G16" s="591"/>
      <c r="H16" s="591"/>
      <c r="I16" s="592"/>
    </row>
    <row r="17" spans="1:9" ht="21.95" customHeight="1">
      <c r="A17" s="590"/>
      <c r="B17" s="591"/>
      <c r="C17" s="591"/>
      <c r="D17" s="591"/>
      <c r="E17" s="591"/>
      <c r="F17" s="591"/>
      <c r="G17" s="591"/>
      <c r="H17" s="591"/>
      <c r="I17" s="592"/>
    </row>
    <row r="18" spans="1:9" ht="21.95" customHeight="1">
      <c r="A18" s="590"/>
      <c r="B18" s="591"/>
      <c r="C18" s="591"/>
      <c r="D18" s="591"/>
      <c r="E18" s="591"/>
      <c r="F18" s="591"/>
      <c r="G18" s="591"/>
      <c r="H18" s="591"/>
      <c r="I18" s="592"/>
    </row>
    <row r="19" spans="1:9" ht="21.95" customHeight="1">
      <c r="A19" s="590"/>
      <c r="B19" s="591"/>
      <c r="C19" s="591"/>
      <c r="D19" s="591"/>
      <c r="E19" s="591"/>
      <c r="F19" s="591"/>
      <c r="G19" s="591"/>
      <c r="H19" s="591"/>
      <c r="I19" s="592"/>
    </row>
    <row r="20" spans="1:9" ht="21.95" customHeight="1">
      <c r="A20" s="590"/>
      <c r="B20" s="591"/>
      <c r="C20" s="591"/>
      <c r="D20" s="591"/>
      <c r="E20" s="591"/>
      <c r="F20" s="591"/>
      <c r="G20" s="591"/>
      <c r="H20" s="591"/>
      <c r="I20" s="592"/>
    </row>
    <row r="21" spans="1:9" ht="21.95" customHeight="1">
      <c r="A21" s="590"/>
      <c r="B21" s="591"/>
      <c r="C21" s="591"/>
      <c r="D21" s="591"/>
      <c r="E21" s="591"/>
      <c r="F21" s="591"/>
      <c r="G21" s="591"/>
      <c r="H21" s="591"/>
      <c r="I21" s="592"/>
    </row>
    <row r="22" spans="1:9" ht="21.95" customHeight="1">
      <c r="A22" s="590"/>
      <c r="B22" s="591"/>
      <c r="C22" s="591"/>
      <c r="D22" s="591"/>
      <c r="E22" s="591"/>
      <c r="F22" s="591"/>
      <c r="G22" s="591"/>
      <c r="H22" s="591"/>
      <c r="I22" s="592"/>
    </row>
    <row r="23" spans="1:9" ht="21.95" customHeight="1">
      <c r="A23" s="590"/>
      <c r="B23" s="591"/>
      <c r="C23" s="591"/>
      <c r="D23" s="591"/>
      <c r="E23" s="591"/>
      <c r="F23" s="591"/>
      <c r="G23" s="591"/>
      <c r="H23" s="591"/>
      <c r="I23" s="592"/>
    </row>
    <row r="24" spans="1:9" ht="21.95" customHeight="1">
      <c r="A24" s="593"/>
      <c r="B24" s="594"/>
      <c r="C24" s="594"/>
      <c r="D24" s="594"/>
      <c r="E24" s="594"/>
      <c r="F24" s="594"/>
      <c r="G24" s="594"/>
      <c r="H24" s="594"/>
      <c r="I24" s="595"/>
    </row>
  </sheetData>
  <mergeCells count="2">
    <mergeCell ref="A1:I1"/>
    <mergeCell ref="A2:I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7FC9A-9FC1-4383-8753-6208FAA46DD5}">
  <sheetPr>
    <tabColor rgb="FF2F5597"/>
  </sheetPr>
  <dimension ref="A1:K19"/>
  <sheetViews>
    <sheetView workbookViewId="0">
      <selection sqref="A1:K1"/>
    </sheetView>
  </sheetViews>
  <sheetFormatPr defaultRowHeight="15"/>
  <cols>
    <col min="1" max="1" width="6.85546875" customWidth="1"/>
    <col min="2" max="2" width="17.140625" customWidth="1"/>
    <col min="3" max="3" width="5.28515625" customWidth="1"/>
    <col min="4" max="4" width="11.42578125" customWidth="1"/>
    <col min="5" max="5" width="6.85546875" customWidth="1"/>
    <col min="6" max="6" width="8.42578125" customWidth="1"/>
    <col min="7" max="7" width="7.5703125" customWidth="1"/>
    <col min="8" max="8" width="5.7109375" customWidth="1"/>
    <col min="9" max="10" width="5.28515625" customWidth="1"/>
    <col min="11" max="11" width="11.42578125" customWidth="1"/>
  </cols>
  <sheetData>
    <row r="1" spans="1:11" ht="32.1" customHeight="1">
      <c r="A1" s="583" t="s">
        <v>4265</v>
      </c>
      <c r="B1" s="583"/>
      <c r="C1" s="583"/>
      <c r="D1" s="583"/>
      <c r="E1" s="583"/>
      <c r="F1" s="583"/>
      <c r="G1" s="583"/>
      <c r="H1" s="583"/>
      <c r="I1" s="583"/>
      <c r="J1" s="583"/>
      <c r="K1" s="583"/>
    </row>
    <row r="2" spans="1:11" ht="21.95" customHeight="1">
      <c r="A2" s="584" t="s">
        <v>4266</v>
      </c>
      <c r="B2" s="584"/>
      <c r="C2" s="584"/>
      <c r="D2" s="584"/>
      <c r="E2" s="584"/>
      <c r="F2" s="584"/>
      <c r="G2" s="584"/>
      <c r="H2" s="584"/>
      <c r="I2" s="584"/>
      <c r="J2" s="584"/>
      <c r="K2" s="584"/>
    </row>
    <row r="3" spans="1:11" ht="30" customHeight="1">
      <c r="A3" s="430" t="s">
        <v>2266</v>
      </c>
      <c r="B3" s="431" t="s">
        <v>2267</v>
      </c>
      <c r="C3" s="431" t="s">
        <v>2268</v>
      </c>
      <c r="D3" s="431" t="s">
        <v>2269</v>
      </c>
      <c r="E3" s="431" t="s">
        <v>2081</v>
      </c>
      <c r="F3" s="431" t="s">
        <v>823</v>
      </c>
      <c r="G3" s="431" t="s">
        <v>17</v>
      </c>
      <c r="H3" s="431" t="s">
        <v>935</v>
      </c>
      <c r="I3" s="431" t="s">
        <v>2270</v>
      </c>
      <c r="J3" s="431" t="s">
        <v>1038</v>
      </c>
      <c r="K3" s="586" t="s">
        <v>78</v>
      </c>
    </row>
    <row r="4" spans="1:11" ht="44.1" customHeight="1">
      <c r="A4" s="587" t="s">
        <v>4267</v>
      </c>
      <c r="B4" s="588" t="s">
        <v>4268</v>
      </c>
      <c r="C4" s="588" t="s">
        <v>4269</v>
      </c>
      <c r="D4" s="588" t="s">
        <v>4270</v>
      </c>
      <c r="E4" s="588" t="s">
        <v>4271</v>
      </c>
      <c r="F4" s="588" t="s">
        <v>4272</v>
      </c>
      <c r="G4" s="588" t="s">
        <v>4138</v>
      </c>
      <c r="H4" s="588" t="s">
        <v>4273</v>
      </c>
      <c r="I4" s="588" t="s">
        <v>4274</v>
      </c>
      <c r="J4" s="588" t="s">
        <v>4044</v>
      </c>
      <c r="K4" s="589" t="s">
        <v>4186</v>
      </c>
    </row>
    <row r="5" spans="1:11" ht="21.95" customHeight="1">
      <c r="A5" s="590"/>
      <c r="B5" s="591"/>
      <c r="C5" s="591"/>
      <c r="D5" s="591"/>
      <c r="E5" s="591"/>
      <c r="F5" s="591"/>
      <c r="G5" s="591"/>
      <c r="H5" s="591"/>
      <c r="I5" s="591"/>
      <c r="J5" s="591"/>
      <c r="K5" s="592"/>
    </row>
    <row r="6" spans="1:11" ht="21.95" customHeight="1">
      <c r="A6" s="590"/>
      <c r="B6" s="591"/>
      <c r="C6" s="591"/>
      <c r="D6" s="591"/>
      <c r="E6" s="591"/>
      <c r="F6" s="591"/>
      <c r="G6" s="591"/>
      <c r="H6" s="591"/>
      <c r="I6" s="591"/>
      <c r="J6" s="591"/>
      <c r="K6" s="592"/>
    </row>
    <row r="7" spans="1:11" ht="21.95" customHeight="1">
      <c r="A7" s="590"/>
      <c r="B7" s="591"/>
      <c r="C7" s="591"/>
      <c r="D7" s="591"/>
      <c r="E7" s="591"/>
      <c r="F7" s="591"/>
      <c r="G7" s="591"/>
      <c r="H7" s="591"/>
      <c r="I7" s="591"/>
      <c r="J7" s="591"/>
      <c r="K7" s="592"/>
    </row>
    <row r="8" spans="1:11" ht="21.95" customHeight="1">
      <c r="A8" s="590"/>
      <c r="B8" s="591"/>
      <c r="C8" s="591"/>
      <c r="D8" s="591"/>
      <c r="E8" s="591"/>
      <c r="F8" s="591"/>
      <c r="G8" s="591"/>
      <c r="H8" s="591"/>
      <c r="I8" s="591"/>
      <c r="J8" s="591"/>
      <c r="K8" s="592"/>
    </row>
    <row r="9" spans="1:11" ht="21.95" customHeight="1">
      <c r="A9" s="590"/>
      <c r="B9" s="591"/>
      <c r="C9" s="591"/>
      <c r="D9" s="591"/>
      <c r="E9" s="591"/>
      <c r="F9" s="591"/>
      <c r="G9" s="591"/>
      <c r="H9" s="591"/>
      <c r="I9" s="591"/>
      <c r="J9" s="591"/>
      <c r="K9" s="592"/>
    </row>
    <row r="10" spans="1:11" ht="21.95" customHeight="1">
      <c r="A10" s="590"/>
      <c r="B10" s="591"/>
      <c r="C10" s="591"/>
      <c r="D10" s="591"/>
      <c r="E10" s="591"/>
      <c r="F10" s="591"/>
      <c r="G10" s="591"/>
      <c r="H10" s="591"/>
      <c r="I10" s="591"/>
      <c r="J10" s="591"/>
      <c r="K10" s="592"/>
    </row>
    <row r="11" spans="1:11" ht="21.95" customHeight="1">
      <c r="A11" s="590"/>
      <c r="B11" s="591"/>
      <c r="C11" s="591"/>
      <c r="D11" s="591"/>
      <c r="E11" s="591"/>
      <c r="F11" s="591"/>
      <c r="G11" s="591"/>
      <c r="H11" s="591"/>
      <c r="I11" s="591"/>
      <c r="J11" s="591"/>
      <c r="K11" s="592"/>
    </row>
    <row r="12" spans="1:11" ht="21.95" customHeight="1">
      <c r="A12" s="590"/>
      <c r="B12" s="591"/>
      <c r="C12" s="591"/>
      <c r="D12" s="591"/>
      <c r="E12" s="591"/>
      <c r="F12" s="591"/>
      <c r="G12" s="591"/>
      <c r="H12" s="591"/>
      <c r="I12" s="591"/>
      <c r="J12" s="591"/>
      <c r="K12" s="592"/>
    </row>
    <row r="13" spans="1:11" ht="21.95" customHeight="1">
      <c r="A13" s="590"/>
      <c r="B13" s="591"/>
      <c r="C13" s="591"/>
      <c r="D13" s="591"/>
      <c r="E13" s="591"/>
      <c r="F13" s="591"/>
      <c r="G13" s="591"/>
      <c r="H13" s="591"/>
      <c r="I13" s="591"/>
      <c r="J13" s="591"/>
      <c r="K13" s="592"/>
    </row>
    <row r="14" spans="1:11" ht="21.95" customHeight="1">
      <c r="A14" s="590"/>
      <c r="B14" s="591"/>
      <c r="C14" s="591"/>
      <c r="D14" s="591"/>
      <c r="E14" s="591"/>
      <c r="F14" s="591"/>
      <c r="G14" s="591"/>
      <c r="H14" s="591"/>
      <c r="I14" s="591"/>
      <c r="J14" s="591"/>
      <c r="K14" s="592"/>
    </row>
    <row r="15" spans="1:11" ht="21.95" customHeight="1">
      <c r="A15" s="590"/>
      <c r="B15" s="591"/>
      <c r="C15" s="591"/>
      <c r="D15" s="591"/>
      <c r="E15" s="591"/>
      <c r="F15" s="591"/>
      <c r="G15" s="591"/>
      <c r="H15" s="591"/>
      <c r="I15" s="591"/>
      <c r="J15" s="591"/>
      <c r="K15" s="592"/>
    </row>
    <row r="16" spans="1:11" ht="21.95" customHeight="1">
      <c r="A16" s="590"/>
      <c r="B16" s="591"/>
      <c r="C16" s="591"/>
      <c r="D16" s="591"/>
      <c r="E16" s="591"/>
      <c r="F16" s="591"/>
      <c r="G16" s="591"/>
      <c r="H16" s="591"/>
      <c r="I16" s="591"/>
      <c r="J16" s="591"/>
      <c r="K16" s="592"/>
    </row>
    <row r="17" spans="1:11" ht="21.95" customHeight="1">
      <c r="A17" s="590"/>
      <c r="B17" s="591"/>
      <c r="C17" s="591"/>
      <c r="D17" s="591"/>
      <c r="E17" s="591"/>
      <c r="F17" s="591"/>
      <c r="G17" s="591"/>
      <c r="H17" s="591"/>
      <c r="I17" s="591"/>
      <c r="J17" s="591"/>
      <c r="K17" s="592"/>
    </row>
    <row r="18" spans="1:11" ht="21.95" customHeight="1">
      <c r="A18" s="590"/>
      <c r="B18" s="591"/>
      <c r="C18" s="591"/>
      <c r="D18" s="591"/>
      <c r="E18" s="591"/>
      <c r="F18" s="591"/>
      <c r="G18" s="591"/>
      <c r="H18" s="591"/>
      <c r="I18" s="591"/>
      <c r="J18" s="591"/>
      <c r="K18" s="592"/>
    </row>
    <row r="19" spans="1:11" ht="21.95" customHeight="1">
      <c r="A19" s="593"/>
      <c r="B19" s="594"/>
      <c r="C19" s="594"/>
      <c r="D19" s="594"/>
      <c r="E19" s="594"/>
      <c r="F19" s="594"/>
      <c r="G19" s="594"/>
      <c r="H19" s="594"/>
      <c r="I19" s="594"/>
      <c r="J19" s="594"/>
      <c r="K19" s="595"/>
    </row>
  </sheetData>
  <mergeCells count="2">
    <mergeCell ref="A1:K1"/>
    <mergeCell ref="A2:K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CD5C3-AE8D-4F1D-8213-28ADCBEA4062}">
  <sheetPr>
    <tabColor rgb="FF2F5597"/>
  </sheetPr>
  <dimension ref="A1:K19"/>
  <sheetViews>
    <sheetView workbookViewId="0">
      <selection sqref="A1:K1"/>
    </sheetView>
  </sheetViews>
  <sheetFormatPr defaultRowHeight="15"/>
  <cols>
    <col min="1" max="1" width="6.85546875" customWidth="1"/>
    <col min="2" max="2" width="17.140625" customWidth="1"/>
    <col min="3" max="3" width="5.28515625" customWidth="1"/>
    <col min="4" max="4" width="11.42578125" customWidth="1"/>
    <col min="5" max="5" width="6.85546875" customWidth="1"/>
    <col min="6" max="6" width="8.42578125" customWidth="1"/>
    <col min="7" max="7" width="7.5703125" customWidth="1"/>
    <col min="8" max="8" width="6.85546875" customWidth="1"/>
    <col min="9" max="10" width="5.28515625" customWidth="1"/>
    <col min="11" max="11" width="11.42578125" customWidth="1"/>
  </cols>
  <sheetData>
    <row r="1" spans="1:11" ht="32.1" customHeight="1">
      <c r="A1" s="583" t="s">
        <v>4275</v>
      </c>
      <c r="B1" s="583"/>
      <c r="C1" s="583"/>
      <c r="D1" s="583"/>
      <c r="E1" s="583"/>
      <c r="F1" s="583"/>
      <c r="G1" s="583"/>
      <c r="H1" s="583"/>
      <c r="I1" s="583"/>
      <c r="J1" s="583"/>
      <c r="K1" s="583"/>
    </row>
    <row r="2" spans="1:11" ht="21.95" customHeight="1">
      <c r="A2" s="584" t="s">
        <v>4276</v>
      </c>
      <c r="B2" s="584"/>
      <c r="C2" s="584"/>
      <c r="D2" s="584"/>
      <c r="E2" s="584"/>
      <c r="F2" s="584"/>
      <c r="G2" s="584"/>
      <c r="H2" s="584"/>
      <c r="I2" s="584"/>
      <c r="J2" s="584"/>
      <c r="K2" s="584"/>
    </row>
    <row r="3" spans="1:11" ht="30" customHeight="1">
      <c r="A3" s="430" t="s">
        <v>2266</v>
      </c>
      <c r="B3" s="431" t="s">
        <v>2267</v>
      </c>
      <c r="C3" s="431" t="s">
        <v>2268</v>
      </c>
      <c r="D3" s="431" t="s">
        <v>2346</v>
      </c>
      <c r="E3" s="431" t="s">
        <v>2081</v>
      </c>
      <c r="F3" s="431" t="s">
        <v>823</v>
      </c>
      <c r="G3" s="431" t="s">
        <v>17</v>
      </c>
      <c r="H3" s="431" t="s">
        <v>2347</v>
      </c>
      <c r="I3" s="431" t="s">
        <v>2348</v>
      </c>
      <c r="J3" s="431" t="s">
        <v>1038</v>
      </c>
      <c r="K3" s="586" t="s">
        <v>78</v>
      </c>
    </row>
    <row r="4" spans="1:11" ht="44.1" customHeight="1">
      <c r="A4" s="587" t="s">
        <v>4277</v>
      </c>
      <c r="B4" s="588" t="s">
        <v>4278</v>
      </c>
      <c r="C4" s="588" t="s">
        <v>4269</v>
      </c>
      <c r="D4" s="588" t="s">
        <v>4279</v>
      </c>
      <c r="E4" s="588" t="s">
        <v>4271</v>
      </c>
      <c r="F4" s="588" t="s">
        <v>4280</v>
      </c>
      <c r="G4" s="588" t="s">
        <v>4138</v>
      </c>
      <c r="H4" s="588" t="s">
        <v>4142</v>
      </c>
      <c r="I4" s="588" t="s">
        <v>4281</v>
      </c>
      <c r="J4" s="588" t="s">
        <v>4044</v>
      </c>
      <c r="K4" s="589" t="s">
        <v>4186</v>
      </c>
    </row>
    <row r="5" spans="1:11" ht="21.95" customHeight="1">
      <c r="A5" s="590"/>
      <c r="B5" s="591"/>
      <c r="C5" s="591"/>
      <c r="D5" s="591"/>
      <c r="E5" s="591"/>
      <c r="F5" s="591"/>
      <c r="G5" s="591"/>
      <c r="H5" s="591"/>
      <c r="I5" s="591"/>
      <c r="J5" s="591"/>
      <c r="K5" s="592"/>
    </row>
    <row r="6" spans="1:11" ht="21.95" customHeight="1">
      <c r="A6" s="590"/>
      <c r="B6" s="591"/>
      <c r="C6" s="591"/>
      <c r="D6" s="591"/>
      <c r="E6" s="591"/>
      <c r="F6" s="591"/>
      <c r="G6" s="591"/>
      <c r="H6" s="591"/>
      <c r="I6" s="591"/>
      <c r="J6" s="591"/>
      <c r="K6" s="592"/>
    </row>
    <row r="7" spans="1:11" ht="21.95" customHeight="1">
      <c r="A7" s="590"/>
      <c r="B7" s="591"/>
      <c r="C7" s="591"/>
      <c r="D7" s="591"/>
      <c r="E7" s="591"/>
      <c r="F7" s="591"/>
      <c r="G7" s="591"/>
      <c r="H7" s="591"/>
      <c r="I7" s="591"/>
      <c r="J7" s="591"/>
      <c r="K7" s="592"/>
    </row>
    <row r="8" spans="1:11" ht="21.95" customHeight="1">
      <c r="A8" s="590"/>
      <c r="B8" s="591"/>
      <c r="C8" s="591"/>
      <c r="D8" s="591"/>
      <c r="E8" s="591"/>
      <c r="F8" s="591"/>
      <c r="G8" s="591"/>
      <c r="H8" s="591"/>
      <c r="I8" s="591"/>
      <c r="J8" s="591"/>
      <c r="K8" s="592"/>
    </row>
    <row r="9" spans="1:11" ht="21.95" customHeight="1">
      <c r="A9" s="590"/>
      <c r="B9" s="591"/>
      <c r="C9" s="591"/>
      <c r="D9" s="591"/>
      <c r="E9" s="591"/>
      <c r="F9" s="591"/>
      <c r="G9" s="591"/>
      <c r="H9" s="591"/>
      <c r="I9" s="591"/>
      <c r="J9" s="591"/>
      <c r="K9" s="592"/>
    </row>
    <row r="10" spans="1:11" ht="21.95" customHeight="1">
      <c r="A10" s="590"/>
      <c r="B10" s="591"/>
      <c r="C10" s="591"/>
      <c r="D10" s="591"/>
      <c r="E10" s="591"/>
      <c r="F10" s="591"/>
      <c r="G10" s="591"/>
      <c r="H10" s="591"/>
      <c r="I10" s="591"/>
      <c r="J10" s="591"/>
      <c r="K10" s="592"/>
    </row>
    <row r="11" spans="1:11" ht="21.95" customHeight="1">
      <c r="A11" s="590"/>
      <c r="B11" s="591"/>
      <c r="C11" s="591"/>
      <c r="D11" s="591"/>
      <c r="E11" s="591"/>
      <c r="F11" s="591"/>
      <c r="G11" s="591"/>
      <c r="H11" s="591"/>
      <c r="I11" s="591"/>
      <c r="J11" s="591"/>
      <c r="K11" s="592"/>
    </row>
    <row r="12" spans="1:11" ht="21.95" customHeight="1">
      <c r="A12" s="590"/>
      <c r="B12" s="591"/>
      <c r="C12" s="591"/>
      <c r="D12" s="591"/>
      <c r="E12" s="591"/>
      <c r="F12" s="591"/>
      <c r="G12" s="591"/>
      <c r="H12" s="591"/>
      <c r="I12" s="591"/>
      <c r="J12" s="591"/>
      <c r="K12" s="592"/>
    </row>
    <row r="13" spans="1:11" ht="21.95" customHeight="1">
      <c r="A13" s="590"/>
      <c r="B13" s="591"/>
      <c r="C13" s="591"/>
      <c r="D13" s="591"/>
      <c r="E13" s="591"/>
      <c r="F13" s="591"/>
      <c r="G13" s="591"/>
      <c r="H13" s="591"/>
      <c r="I13" s="591"/>
      <c r="J13" s="591"/>
      <c r="K13" s="592"/>
    </row>
    <row r="14" spans="1:11" ht="21.95" customHeight="1">
      <c r="A14" s="590"/>
      <c r="B14" s="591"/>
      <c r="C14" s="591"/>
      <c r="D14" s="591"/>
      <c r="E14" s="591"/>
      <c r="F14" s="591"/>
      <c r="G14" s="591"/>
      <c r="H14" s="591"/>
      <c r="I14" s="591"/>
      <c r="J14" s="591"/>
      <c r="K14" s="592"/>
    </row>
    <row r="15" spans="1:11" ht="21.95" customHeight="1">
      <c r="A15" s="590"/>
      <c r="B15" s="591"/>
      <c r="C15" s="591"/>
      <c r="D15" s="591"/>
      <c r="E15" s="591"/>
      <c r="F15" s="591"/>
      <c r="G15" s="591"/>
      <c r="H15" s="591"/>
      <c r="I15" s="591"/>
      <c r="J15" s="591"/>
      <c r="K15" s="592"/>
    </row>
    <row r="16" spans="1:11" ht="21.95" customHeight="1">
      <c r="A16" s="590"/>
      <c r="B16" s="591"/>
      <c r="C16" s="591"/>
      <c r="D16" s="591"/>
      <c r="E16" s="591"/>
      <c r="F16" s="591"/>
      <c r="G16" s="591"/>
      <c r="H16" s="591"/>
      <c r="I16" s="591"/>
      <c r="J16" s="591"/>
      <c r="K16" s="592"/>
    </row>
    <row r="17" spans="1:11" ht="21.95" customHeight="1">
      <c r="A17" s="590"/>
      <c r="B17" s="591"/>
      <c r="C17" s="591"/>
      <c r="D17" s="591"/>
      <c r="E17" s="591"/>
      <c r="F17" s="591"/>
      <c r="G17" s="591"/>
      <c r="H17" s="591"/>
      <c r="I17" s="591"/>
      <c r="J17" s="591"/>
      <c r="K17" s="592"/>
    </row>
    <row r="18" spans="1:11" ht="21.95" customHeight="1">
      <c r="A18" s="590"/>
      <c r="B18" s="591"/>
      <c r="C18" s="591"/>
      <c r="D18" s="591"/>
      <c r="E18" s="591"/>
      <c r="F18" s="591"/>
      <c r="G18" s="591"/>
      <c r="H18" s="591"/>
      <c r="I18" s="591"/>
      <c r="J18" s="591"/>
      <c r="K18" s="592"/>
    </row>
    <row r="19" spans="1:11" ht="21.95" customHeight="1">
      <c r="A19" s="593"/>
      <c r="B19" s="594"/>
      <c r="C19" s="594"/>
      <c r="D19" s="594"/>
      <c r="E19" s="594"/>
      <c r="F19" s="594"/>
      <c r="G19" s="594"/>
      <c r="H19" s="594"/>
      <c r="I19" s="594"/>
      <c r="J19" s="594"/>
      <c r="K19" s="595"/>
    </row>
  </sheetData>
  <mergeCells count="2">
    <mergeCell ref="A1:K1"/>
    <mergeCell ref="A2:K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5DD7F-EC8D-4122-B663-2D3151D359AE}">
  <sheetPr>
    <tabColor rgb="FF2F5597"/>
  </sheetPr>
  <dimension ref="A1:K24"/>
  <sheetViews>
    <sheetView workbookViewId="0">
      <selection sqref="A1:K1"/>
    </sheetView>
  </sheetViews>
  <sheetFormatPr defaultRowHeight="15"/>
  <cols>
    <col min="1" max="1" width="9.5703125" customWidth="1"/>
    <col min="2" max="2" width="6.85546875" customWidth="1"/>
    <col min="3" max="3" width="7.5703125" customWidth="1"/>
    <col min="4" max="4" width="15.28515625" customWidth="1"/>
    <col min="5" max="5" width="5.7109375" customWidth="1"/>
    <col min="6" max="6" width="7.5703125" customWidth="1"/>
    <col min="7" max="7" width="5.28515625" customWidth="1"/>
    <col min="8" max="8" width="11.42578125" customWidth="1"/>
    <col min="9" max="9" width="13.28515625" customWidth="1"/>
    <col min="10" max="10" width="5.7109375" customWidth="1"/>
    <col min="11" max="11" width="11.42578125" customWidth="1"/>
  </cols>
  <sheetData>
    <row r="1" spans="1:11" ht="32.1" customHeight="1">
      <c r="A1" s="583" t="s">
        <v>4282</v>
      </c>
      <c r="B1" s="583"/>
      <c r="C1" s="583"/>
      <c r="D1" s="583"/>
      <c r="E1" s="583"/>
      <c r="F1" s="583"/>
      <c r="G1" s="583"/>
      <c r="H1" s="583"/>
      <c r="I1" s="583"/>
      <c r="J1" s="583"/>
      <c r="K1" s="583"/>
    </row>
    <row r="2" spans="1:11" ht="21.95" customHeight="1">
      <c r="A2" s="584" t="s">
        <v>4283</v>
      </c>
      <c r="B2" s="584"/>
      <c r="C2" s="584"/>
      <c r="D2" s="584"/>
      <c r="E2" s="584"/>
      <c r="F2" s="584"/>
      <c r="G2" s="584"/>
      <c r="H2" s="584"/>
      <c r="I2" s="584"/>
      <c r="J2" s="584"/>
      <c r="K2" s="584"/>
    </row>
    <row r="3" spans="1:11" ht="30" customHeight="1">
      <c r="A3" s="430" t="s">
        <v>2621</v>
      </c>
      <c r="B3" s="431" t="s">
        <v>523</v>
      </c>
      <c r="C3" s="431" t="s">
        <v>1238</v>
      </c>
      <c r="D3" s="431" t="s">
        <v>824</v>
      </c>
      <c r="E3" s="431" t="s">
        <v>2622</v>
      </c>
      <c r="F3" s="431" t="s">
        <v>17</v>
      </c>
      <c r="G3" s="431" t="s">
        <v>2623</v>
      </c>
      <c r="H3" s="431" t="s">
        <v>2624</v>
      </c>
      <c r="I3" s="431" t="s">
        <v>2625</v>
      </c>
      <c r="J3" s="431" t="s">
        <v>1881</v>
      </c>
      <c r="K3" s="586" t="s">
        <v>78</v>
      </c>
    </row>
    <row r="4" spans="1:11" ht="44.1" customHeight="1">
      <c r="A4" s="587" t="s">
        <v>4284</v>
      </c>
      <c r="B4" s="588" t="s">
        <v>4285</v>
      </c>
      <c r="C4" s="588" t="s">
        <v>4286</v>
      </c>
      <c r="D4" s="588" t="s">
        <v>4287</v>
      </c>
      <c r="E4" s="588" t="s">
        <v>4288</v>
      </c>
      <c r="F4" s="588" t="s">
        <v>4289</v>
      </c>
      <c r="G4" s="588" t="s">
        <v>4290</v>
      </c>
      <c r="H4" s="588" t="s">
        <v>4291</v>
      </c>
      <c r="I4" s="588" t="s">
        <v>4292</v>
      </c>
      <c r="J4" s="588" t="s">
        <v>4025</v>
      </c>
      <c r="K4" s="589" t="s">
        <v>4186</v>
      </c>
    </row>
    <row r="5" spans="1:11" ht="21.95" customHeight="1">
      <c r="A5" s="590"/>
      <c r="B5" s="591"/>
      <c r="C5" s="591"/>
      <c r="D5" s="591"/>
      <c r="E5" s="591"/>
      <c r="F5" s="591"/>
      <c r="G5" s="591"/>
      <c r="H5" s="591"/>
      <c r="I5" s="591"/>
      <c r="J5" s="591"/>
      <c r="K5" s="592"/>
    </row>
    <row r="6" spans="1:11" ht="21.95" customHeight="1">
      <c r="A6" s="590"/>
      <c r="B6" s="591"/>
      <c r="C6" s="591"/>
      <c r="D6" s="591"/>
      <c r="E6" s="591"/>
      <c r="F6" s="591"/>
      <c r="G6" s="591"/>
      <c r="H6" s="591"/>
      <c r="I6" s="591"/>
      <c r="J6" s="591"/>
      <c r="K6" s="592"/>
    </row>
    <row r="7" spans="1:11" ht="21.95" customHeight="1">
      <c r="A7" s="590"/>
      <c r="B7" s="591"/>
      <c r="C7" s="591"/>
      <c r="D7" s="591"/>
      <c r="E7" s="591"/>
      <c r="F7" s="591"/>
      <c r="G7" s="591"/>
      <c r="H7" s="591"/>
      <c r="I7" s="591"/>
      <c r="J7" s="591"/>
      <c r="K7" s="592"/>
    </row>
    <row r="8" spans="1:11" ht="21.95" customHeight="1">
      <c r="A8" s="590"/>
      <c r="B8" s="591"/>
      <c r="C8" s="591"/>
      <c r="D8" s="591"/>
      <c r="E8" s="591"/>
      <c r="F8" s="591"/>
      <c r="G8" s="591"/>
      <c r="H8" s="591"/>
      <c r="I8" s="591"/>
      <c r="J8" s="591"/>
      <c r="K8" s="592"/>
    </row>
    <row r="9" spans="1:11" ht="21.95" customHeight="1">
      <c r="A9" s="590"/>
      <c r="B9" s="591"/>
      <c r="C9" s="591"/>
      <c r="D9" s="591"/>
      <c r="E9" s="591"/>
      <c r="F9" s="591"/>
      <c r="G9" s="591"/>
      <c r="H9" s="591"/>
      <c r="I9" s="591"/>
      <c r="J9" s="591"/>
      <c r="K9" s="592"/>
    </row>
    <row r="10" spans="1:11" ht="21.95" customHeight="1">
      <c r="A10" s="590"/>
      <c r="B10" s="591"/>
      <c r="C10" s="591"/>
      <c r="D10" s="591"/>
      <c r="E10" s="591"/>
      <c r="F10" s="591"/>
      <c r="G10" s="591"/>
      <c r="H10" s="591"/>
      <c r="I10" s="591"/>
      <c r="J10" s="591"/>
      <c r="K10" s="592"/>
    </row>
    <row r="11" spans="1:11" ht="21.95" customHeight="1">
      <c r="A11" s="590"/>
      <c r="B11" s="591"/>
      <c r="C11" s="591"/>
      <c r="D11" s="591"/>
      <c r="E11" s="591"/>
      <c r="F11" s="591"/>
      <c r="G11" s="591"/>
      <c r="H11" s="591"/>
      <c r="I11" s="591"/>
      <c r="J11" s="591"/>
      <c r="K11" s="592"/>
    </row>
    <row r="12" spans="1:11" ht="21.95" customHeight="1">
      <c r="A12" s="590"/>
      <c r="B12" s="591"/>
      <c r="C12" s="591"/>
      <c r="D12" s="591"/>
      <c r="E12" s="591"/>
      <c r="F12" s="591"/>
      <c r="G12" s="591"/>
      <c r="H12" s="591"/>
      <c r="I12" s="591"/>
      <c r="J12" s="591"/>
      <c r="K12" s="592"/>
    </row>
    <row r="13" spans="1:11" ht="21.95" customHeight="1">
      <c r="A13" s="590"/>
      <c r="B13" s="591"/>
      <c r="C13" s="591"/>
      <c r="D13" s="591"/>
      <c r="E13" s="591"/>
      <c r="F13" s="591"/>
      <c r="G13" s="591"/>
      <c r="H13" s="591"/>
      <c r="I13" s="591"/>
      <c r="J13" s="591"/>
      <c r="K13" s="592"/>
    </row>
    <row r="14" spans="1:11" ht="21.95" customHeight="1">
      <c r="A14" s="590"/>
      <c r="B14" s="591"/>
      <c r="C14" s="591"/>
      <c r="D14" s="591"/>
      <c r="E14" s="591"/>
      <c r="F14" s="591"/>
      <c r="G14" s="591"/>
      <c r="H14" s="591"/>
      <c r="I14" s="591"/>
      <c r="J14" s="591"/>
      <c r="K14" s="592"/>
    </row>
    <row r="15" spans="1:11" ht="21.95" customHeight="1">
      <c r="A15" s="590"/>
      <c r="B15" s="591"/>
      <c r="C15" s="591"/>
      <c r="D15" s="591"/>
      <c r="E15" s="591"/>
      <c r="F15" s="591"/>
      <c r="G15" s="591"/>
      <c r="H15" s="591"/>
      <c r="I15" s="591"/>
      <c r="J15" s="591"/>
      <c r="K15" s="592"/>
    </row>
    <row r="16" spans="1:11" ht="21.95" customHeight="1">
      <c r="A16" s="590"/>
      <c r="B16" s="591"/>
      <c r="C16" s="591"/>
      <c r="D16" s="591"/>
      <c r="E16" s="591"/>
      <c r="F16" s="591"/>
      <c r="G16" s="591"/>
      <c r="H16" s="591"/>
      <c r="I16" s="591"/>
      <c r="J16" s="591"/>
      <c r="K16" s="592"/>
    </row>
    <row r="17" spans="1:11" ht="21.95" customHeight="1">
      <c r="A17" s="590"/>
      <c r="B17" s="591"/>
      <c r="C17" s="591"/>
      <c r="D17" s="591"/>
      <c r="E17" s="591"/>
      <c r="F17" s="591"/>
      <c r="G17" s="591"/>
      <c r="H17" s="591"/>
      <c r="I17" s="591"/>
      <c r="J17" s="591"/>
      <c r="K17" s="592"/>
    </row>
    <row r="18" spans="1:11" ht="21.95" customHeight="1">
      <c r="A18" s="590"/>
      <c r="B18" s="591"/>
      <c r="C18" s="591"/>
      <c r="D18" s="591"/>
      <c r="E18" s="591"/>
      <c r="F18" s="591"/>
      <c r="G18" s="591"/>
      <c r="H18" s="591"/>
      <c r="I18" s="591"/>
      <c r="J18" s="591"/>
      <c r="K18" s="592"/>
    </row>
    <row r="19" spans="1:11" ht="21.95" customHeight="1">
      <c r="A19" s="590"/>
      <c r="B19" s="591"/>
      <c r="C19" s="591"/>
      <c r="D19" s="591"/>
      <c r="E19" s="591"/>
      <c r="F19" s="591"/>
      <c r="G19" s="591"/>
      <c r="H19" s="591"/>
      <c r="I19" s="591"/>
      <c r="J19" s="591"/>
      <c r="K19" s="592"/>
    </row>
    <row r="20" spans="1:11" ht="21.95" customHeight="1">
      <c r="A20" s="590"/>
      <c r="B20" s="591"/>
      <c r="C20" s="591"/>
      <c r="D20" s="591"/>
      <c r="E20" s="591"/>
      <c r="F20" s="591"/>
      <c r="G20" s="591"/>
      <c r="H20" s="591"/>
      <c r="I20" s="591"/>
      <c r="J20" s="591"/>
      <c r="K20" s="592"/>
    </row>
    <row r="21" spans="1:11" ht="21.95" customHeight="1">
      <c r="A21" s="590"/>
      <c r="B21" s="591"/>
      <c r="C21" s="591"/>
      <c r="D21" s="591"/>
      <c r="E21" s="591"/>
      <c r="F21" s="591"/>
      <c r="G21" s="591"/>
      <c r="H21" s="591"/>
      <c r="I21" s="591"/>
      <c r="J21" s="591"/>
      <c r="K21" s="592"/>
    </row>
    <row r="22" spans="1:11" ht="21.95" customHeight="1">
      <c r="A22" s="590"/>
      <c r="B22" s="591"/>
      <c r="C22" s="591"/>
      <c r="D22" s="591"/>
      <c r="E22" s="591"/>
      <c r="F22" s="591"/>
      <c r="G22" s="591"/>
      <c r="H22" s="591"/>
      <c r="I22" s="591"/>
      <c r="J22" s="591"/>
      <c r="K22" s="592"/>
    </row>
    <row r="23" spans="1:11" ht="21.95" customHeight="1">
      <c r="A23" s="590"/>
      <c r="B23" s="591"/>
      <c r="C23" s="591"/>
      <c r="D23" s="591"/>
      <c r="E23" s="591"/>
      <c r="F23" s="591"/>
      <c r="G23" s="591"/>
      <c r="H23" s="591"/>
      <c r="I23" s="591"/>
      <c r="J23" s="591"/>
      <c r="K23" s="592"/>
    </row>
    <row r="24" spans="1:11" ht="21.95" customHeight="1">
      <c r="A24" s="593"/>
      <c r="B24" s="594"/>
      <c r="C24" s="594"/>
      <c r="D24" s="594"/>
      <c r="E24" s="594"/>
      <c r="F24" s="594"/>
      <c r="G24" s="594"/>
      <c r="H24" s="594"/>
      <c r="I24" s="594"/>
      <c r="J24" s="594"/>
      <c r="K24" s="595"/>
    </row>
  </sheetData>
  <mergeCells count="2">
    <mergeCell ref="A1:K1"/>
    <mergeCell ref="A2:K2"/>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386C9-C91E-4D84-A7F3-D7315B14B14B}">
  <sheetPr>
    <tabColor rgb="FF2F5597"/>
  </sheetPr>
  <dimension ref="A1:L19"/>
  <sheetViews>
    <sheetView workbookViewId="0">
      <selection sqref="A1:L1"/>
    </sheetView>
  </sheetViews>
  <sheetFormatPr defaultRowHeight="15"/>
  <cols>
    <col min="1" max="1" width="5.28515625" customWidth="1"/>
    <col min="2" max="2" width="10.7109375" customWidth="1"/>
    <col min="3" max="3" width="15.28515625" customWidth="1"/>
    <col min="4" max="4" width="7.5703125" customWidth="1"/>
    <col min="5" max="5" width="9.5703125" customWidth="1"/>
    <col min="6" max="6" width="7.5703125" customWidth="1"/>
    <col min="7" max="8" width="5.28515625" customWidth="1"/>
    <col min="9" max="9" width="5.7109375" customWidth="1"/>
    <col min="10" max="11" width="11.42578125" customWidth="1"/>
    <col min="12" max="12" width="5.28515625" customWidth="1"/>
  </cols>
  <sheetData>
    <row r="1" spans="1:12" ht="32.1" customHeight="1">
      <c r="A1" s="583" t="s">
        <v>4293</v>
      </c>
      <c r="B1" s="583"/>
      <c r="C1" s="583"/>
      <c r="D1" s="583"/>
      <c r="E1" s="583"/>
      <c r="F1" s="583"/>
      <c r="G1" s="583"/>
      <c r="H1" s="583"/>
      <c r="I1" s="583"/>
      <c r="J1" s="583"/>
      <c r="K1" s="583"/>
      <c r="L1" s="583"/>
    </row>
    <row r="2" spans="1:12" ht="21.95" customHeight="1">
      <c r="A2" s="584" t="s">
        <v>4294</v>
      </c>
      <c r="B2" s="584"/>
      <c r="C2" s="584"/>
      <c r="D2" s="584"/>
      <c r="E2" s="584"/>
      <c r="F2" s="584"/>
      <c r="G2" s="584"/>
      <c r="H2" s="584"/>
      <c r="I2" s="584"/>
      <c r="J2" s="584"/>
      <c r="K2" s="584"/>
      <c r="L2" s="584"/>
    </row>
    <row r="3" spans="1:12" ht="30" customHeight="1">
      <c r="A3" s="430" t="s">
        <v>2698</v>
      </c>
      <c r="B3" s="431" t="s">
        <v>2699</v>
      </c>
      <c r="C3" s="431" t="s">
        <v>824</v>
      </c>
      <c r="D3" s="431" t="s">
        <v>2700</v>
      </c>
      <c r="E3" s="431" t="s">
        <v>2701</v>
      </c>
      <c r="F3" s="431" t="s">
        <v>17</v>
      </c>
      <c r="G3" s="431" t="s">
        <v>2702</v>
      </c>
      <c r="H3" s="431" t="s">
        <v>758</v>
      </c>
      <c r="I3" s="431" t="s">
        <v>2703</v>
      </c>
      <c r="J3" s="431" t="s">
        <v>2704</v>
      </c>
      <c r="K3" s="431" t="s">
        <v>2705</v>
      </c>
      <c r="L3" s="586" t="s">
        <v>2270</v>
      </c>
    </row>
    <row r="4" spans="1:12" ht="44.1" customHeight="1">
      <c r="A4" s="587" t="s">
        <v>4295</v>
      </c>
      <c r="B4" s="588" t="s">
        <v>4053</v>
      </c>
      <c r="C4" s="588" t="s">
        <v>4296</v>
      </c>
      <c r="D4" s="588" t="s">
        <v>4297</v>
      </c>
      <c r="E4" s="588" t="s">
        <v>4298</v>
      </c>
      <c r="F4" s="588" t="s">
        <v>4299</v>
      </c>
      <c r="G4" s="588" t="s">
        <v>4269</v>
      </c>
      <c r="H4" s="588" t="s">
        <v>4163</v>
      </c>
      <c r="I4" s="588" t="s">
        <v>4300</v>
      </c>
      <c r="J4" s="588" t="s">
        <v>4301</v>
      </c>
      <c r="K4" s="588" t="s">
        <v>4302</v>
      </c>
      <c r="L4" s="589" t="s">
        <v>4303</v>
      </c>
    </row>
    <row r="5" spans="1:12" ht="21.95" customHeight="1">
      <c r="A5" s="590"/>
      <c r="B5" s="591"/>
      <c r="C5" s="591"/>
      <c r="D5" s="591"/>
      <c r="E5" s="591"/>
      <c r="F5" s="591"/>
      <c r="G5" s="591"/>
      <c r="H5" s="591"/>
      <c r="I5" s="591"/>
      <c r="J5" s="591"/>
      <c r="K5" s="591"/>
      <c r="L5" s="592"/>
    </row>
    <row r="6" spans="1:12" ht="21.95" customHeight="1">
      <c r="A6" s="590"/>
      <c r="B6" s="591"/>
      <c r="C6" s="591"/>
      <c r="D6" s="591"/>
      <c r="E6" s="591"/>
      <c r="F6" s="591"/>
      <c r="G6" s="591"/>
      <c r="H6" s="591"/>
      <c r="I6" s="591"/>
      <c r="J6" s="591"/>
      <c r="K6" s="591"/>
      <c r="L6" s="592"/>
    </row>
    <row r="7" spans="1:12" ht="21.95" customHeight="1">
      <c r="A7" s="590"/>
      <c r="B7" s="591"/>
      <c r="C7" s="591"/>
      <c r="D7" s="591"/>
      <c r="E7" s="591"/>
      <c r="F7" s="591"/>
      <c r="G7" s="591"/>
      <c r="H7" s="591"/>
      <c r="I7" s="591"/>
      <c r="J7" s="591"/>
      <c r="K7" s="591"/>
      <c r="L7" s="592"/>
    </row>
    <row r="8" spans="1:12" ht="21.95" customHeight="1">
      <c r="A8" s="590"/>
      <c r="B8" s="591"/>
      <c r="C8" s="591"/>
      <c r="D8" s="591"/>
      <c r="E8" s="591"/>
      <c r="F8" s="591"/>
      <c r="G8" s="591"/>
      <c r="H8" s="591"/>
      <c r="I8" s="591"/>
      <c r="J8" s="591"/>
      <c r="K8" s="591"/>
      <c r="L8" s="592"/>
    </row>
    <row r="9" spans="1:12" ht="21.95" customHeight="1">
      <c r="A9" s="590"/>
      <c r="B9" s="591"/>
      <c r="C9" s="591"/>
      <c r="D9" s="591"/>
      <c r="E9" s="591"/>
      <c r="F9" s="591"/>
      <c r="G9" s="591"/>
      <c r="H9" s="591"/>
      <c r="I9" s="591"/>
      <c r="J9" s="591"/>
      <c r="K9" s="591"/>
      <c r="L9" s="592"/>
    </row>
    <row r="10" spans="1:12" ht="21.95" customHeight="1">
      <c r="A10" s="590"/>
      <c r="B10" s="591"/>
      <c r="C10" s="591"/>
      <c r="D10" s="591"/>
      <c r="E10" s="591"/>
      <c r="F10" s="591"/>
      <c r="G10" s="591"/>
      <c r="H10" s="591"/>
      <c r="I10" s="591"/>
      <c r="J10" s="591"/>
      <c r="K10" s="591"/>
      <c r="L10" s="592"/>
    </row>
    <row r="11" spans="1:12" ht="21.95" customHeight="1">
      <c r="A11" s="590"/>
      <c r="B11" s="591"/>
      <c r="C11" s="591"/>
      <c r="D11" s="591"/>
      <c r="E11" s="591"/>
      <c r="F11" s="591"/>
      <c r="G11" s="591"/>
      <c r="H11" s="591"/>
      <c r="I11" s="591"/>
      <c r="J11" s="591"/>
      <c r="K11" s="591"/>
      <c r="L11" s="592"/>
    </row>
    <row r="12" spans="1:12" ht="21.95" customHeight="1">
      <c r="A12" s="590"/>
      <c r="B12" s="591"/>
      <c r="C12" s="591"/>
      <c r="D12" s="591"/>
      <c r="E12" s="591"/>
      <c r="F12" s="591"/>
      <c r="G12" s="591"/>
      <c r="H12" s="591"/>
      <c r="I12" s="591"/>
      <c r="J12" s="591"/>
      <c r="K12" s="591"/>
      <c r="L12" s="592"/>
    </row>
    <row r="13" spans="1:12" ht="21.95" customHeight="1">
      <c r="A13" s="590"/>
      <c r="B13" s="591"/>
      <c r="C13" s="591"/>
      <c r="D13" s="591"/>
      <c r="E13" s="591"/>
      <c r="F13" s="591"/>
      <c r="G13" s="591"/>
      <c r="H13" s="591"/>
      <c r="I13" s="591"/>
      <c r="J13" s="591"/>
      <c r="K13" s="591"/>
      <c r="L13" s="592"/>
    </row>
    <row r="14" spans="1:12" ht="21.95" customHeight="1">
      <c r="A14" s="590"/>
      <c r="B14" s="591"/>
      <c r="C14" s="591"/>
      <c r="D14" s="591"/>
      <c r="E14" s="591"/>
      <c r="F14" s="591"/>
      <c r="G14" s="591"/>
      <c r="H14" s="591"/>
      <c r="I14" s="591"/>
      <c r="J14" s="591"/>
      <c r="K14" s="591"/>
      <c r="L14" s="592"/>
    </row>
    <row r="15" spans="1:12" ht="21.95" customHeight="1">
      <c r="A15" s="590"/>
      <c r="B15" s="591"/>
      <c r="C15" s="591"/>
      <c r="D15" s="591"/>
      <c r="E15" s="591"/>
      <c r="F15" s="591"/>
      <c r="G15" s="591"/>
      <c r="H15" s="591"/>
      <c r="I15" s="591"/>
      <c r="J15" s="591"/>
      <c r="K15" s="591"/>
      <c r="L15" s="592"/>
    </row>
    <row r="16" spans="1:12" ht="21.95" customHeight="1">
      <c r="A16" s="590"/>
      <c r="B16" s="591"/>
      <c r="C16" s="591"/>
      <c r="D16" s="591"/>
      <c r="E16" s="591"/>
      <c r="F16" s="591"/>
      <c r="G16" s="591"/>
      <c r="H16" s="591"/>
      <c r="I16" s="591"/>
      <c r="J16" s="591"/>
      <c r="K16" s="591"/>
      <c r="L16" s="592"/>
    </row>
    <row r="17" spans="1:12" ht="21.95" customHeight="1">
      <c r="A17" s="590"/>
      <c r="B17" s="591"/>
      <c r="C17" s="591"/>
      <c r="D17" s="591"/>
      <c r="E17" s="591"/>
      <c r="F17" s="591"/>
      <c r="G17" s="591"/>
      <c r="H17" s="591"/>
      <c r="I17" s="591"/>
      <c r="J17" s="591"/>
      <c r="K17" s="591"/>
      <c r="L17" s="592"/>
    </row>
    <row r="18" spans="1:12" ht="21.95" customHeight="1">
      <c r="A18" s="590"/>
      <c r="B18" s="591"/>
      <c r="C18" s="591"/>
      <c r="D18" s="591"/>
      <c r="E18" s="591"/>
      <c r="F18" s="591"/>
      <c r="G18" s="591"/>
      <c r="H18" s="591"/>
      <c r="I18" s="591"/>
      <c r="J18" s="591"/>
      <c r="K18" s="591"/>
      <c r="L18" s="592"/>
    </row>
    <row r="19" spans="1:12" ht="21.95" customHeight="1">
      <c r="A19" s="593"/>
      <c r="B19" s="594"/>
      <c r="C19" s="594"/>
      <c r="D19" s="594"/>
      <c r="E19" s="594"/>
      <c r="F19" s="594"/>
      <c r="G19" s="594"/>
      <c r="H19" s="594"/>
      <c r="I19" s="594"/>
      <c r="J19" s="594"/>
      <c r="K19" s="594"/>
      <c r="L19" s="595"/>
    </row>
  </sheetData>
  <mergeCells count="2">
    <mergeCell ref="A1:L1"/>
    <mergeCell ref="A2:L2"/>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76F0C-02C5-4A1F-805D-0892BA7C3661}">
  <sheetPr>
    <tabColor rgb="FF2F5597"/>
  </sheetPr>
  <dimension ref="A1:K19"/>
  <sheetViews>
    <sheetView workbookViewId="0">
      <selection sqref="A1:K1"/>
    </sheetView>
  </sheetViews>
  <sheetFormatPr defaultRowHeight="15"/>
  <cols>
    <col min="1" max="1" width="11.42578125" customWidth="1"/>
    <col min="2" max="2" width="5.7109375" customWidth="1"/>
    <col min="3" max="4" width="4.5703125" customWidth="1"/>
    <col min="5" max="5" width="11.42578125" customWidth="1"/>
    <col min="6" max="6" width="13.28515625" customWidth="1"/>
    <col min="7" max="7" width="11.42578125" customWidth="1"/>
    <col min="8" max="8" width="5.7109375" customWidth="1"/>
    <col min="9" max="10" width="5.28515625" customWidth="1"/>
    <col min="11" max="11" width="11.42578125" customWidth="1"/>
  </cols>
  <sheetData>
    <row r="1" spans="1:11" ht="32.1" customHeight="1">
      <c r="A1" s="583" t="s">
        <v>4304</v>
      </c>
      <c r="B1" s="583"/>
      <c r="C1" s="583"/>
      <c r="D1" s="583"/>
      <c r="E1" s="583"/>
      <c r="F1" s="583"/>
      <c r="G1" s="583"/>
      <c r="H1" s="583"/>
      <c r="I1" s="583"/>
      <c r="J1" s="583"/>
      <c r="K1" s="583"/>
    </row>
    <row r="2" spans="1:11" ht="21.95" customHeight="1">
      <c r="A2" s="584" t="s">
        <v>4305</v>
      </c>
      <c r="B2" s="584"/>
      <c r="C2" s="584"/>
      <c r="D2" s="584"/>
      <c r="E2" s="584"/>
      <c r="F2" s="584"/>
      <c r="G2" s="584"/>
      <c r="H2" s="584"/>
      <c r="I2" s="584"/>
      <c r="J2" s="584"/>
      <c r="K2" s="584"/>
    </row>
    <row r="3" spans="1:11" ht="30" customHeight="1">
      <c r="A3" s="430" t="s">
        <v>3075</v>
      </c>
      <c r="B3" s="431" t="s">
        <v>3076</v>
      </c>
      <c r="C3" s="431" t="s">
        <v>3077</v>
      </c>
      <c r="D3" s="431" t="s">
        <v>3078</v>
      </c>
      <c r="E3" s="431" t="s">
        <v>3079</v>
      </c>
      <c r="F3" s="431" t="s">
        <v>3080</v>
      </c>
      <c r="G3" s="431" t="s">
        <v>2998</v>
      </c>
      <c r="H3" s="431" t="s">
        <v>3081</v>
      </c>
      <c r="I3" s="431" t="s">
        <v>3082</v>
      </c>
      <c r="J3" s="431" t="s">
        <v>3083</v>
      </c>
      <c r="K3" s="586" t="s">
        <v>3084</v>
      </c>
    </row>
    <row r="4" spans="1:11" ht="44.1" customHeight="1">
      <c r="A4" s="587" t="s">
        <v>4306</v>
      </c>
      <c r="B4" s="588" t="s">
        <v>4307</v>
      </c>
      <c r="C4" s="588" t="s">
        <v>4308</v>
      </c>
      <c r="D4" s="588" t="s">
        <v>4309</v>
      </c>
      <c r="E4" s="588" t="s">
        <v>4310</v>
      </c>
      <c r="F4" s="588" t="s">
        <v>4311</v>
      </c>
      <c r="G4" s="588" t="s">
        <v>4312</v>
      </c>
      <c r="H4" s="588" t="s">
        <v>4313</v>
      </c>
      <c r="I4" s="588" t="s">
        <v>4314</v>
      </c>
      <c r="J4" s="588" t="s">
        <v>4315</v>
      </c>
      <c r="K4" s="589" t="s">
        <v>4316</v>
      </c>
    </row>
    <row r="5" spans="1:11" ht="21.95" customHeight="1">
      <c r="A5" s="590"/>
      <c r="B5" s="591"/>
      <c r="C5" s="591"/>
      <c r="D5" s="591"/>
      <c r="E5" s="591"/>
      <c r="F5" s="591"/>
      <c r="G5" s="591"/>
      <c r="H5" s="591"/>
      <c r="I5" s="591"/>
      <c r="J5" s="591"/>
      <c r="K5" s="592"/>
    </row>
    <row r="6" spans="1:11" ht="21.95" customHeight="1">
      <c r="A6" s="590"/>
      <c r="B6" s="591"/>
      <c r="C6" s="591"/>
      <c r="D6" s="591"/>
      <c r="E6" s="591"/>
      <c r="F6" s="591"/>
      <c r="G6" s="591"/>
      <c r="H6" s="591"/>
      <c r="I6" s="591"/>
      <c r="J6" s="591"/>
      <c r="K6" s="592"/>
    </row>
    <row r="7" spans="1:11" ht="21.95" customHeight="1">
      <c r="A7" s="590"/>
      <c r="B7" s="591"/>
      <c r="C7" s="591"/>
      <c r="D7" s="591"/>
      <c r="E7" s="591"/>
      <c r="F7" s="591"/>
      <c r="G7" s="591"/>
      <c r="H7" s="591"/>
      <c r="I7" s="591"/>
      <c r="J7" s="591"/>
      <c r="K7" s="592"/>
    </row>
    <row r="8" spans="1:11" ht="21.95" customHeight="1">
      <c r="A8" s="590"/>
      <c r="B8" s="591"/>
      <c r="C8" s="591"/>
      <c r="D8" s="591"/>
      <c r="E8" s="591"/>
      <c r="F8" s="591"/>
      <c r="G8" s="591"/>
      <c r="H8" s="591"/>
      <c r="I8" s="591"/>
      <c r="J8" s="591"/>
      <c r="K8" s="592"/>
    </row>
    <row r="9" spans="1:11" ht="21.95" customHeight="1">
      <c r="A9" s="590"/>
      <c r="B9" s="591"/>
      <c r="C9" s="591"/>
      <c r="D9" s="591"/>
      <c r="E9" s="591"/>
      <c r="F9" s="591"/>
      <c r="G9" s="591"/>
      <c r="H9" s="591"/>
      <c r="I9" s="591"/>
      <c r="J9" s="591"/>
      <c r="K9" s="592"/>
    </row>
    <row r="10" spans="1:11" ht="21.95" customHeight="1">
      <c r="A10" s="590"/>
      <c r="B10" s="591"/>
      <c r="C10" s="591"/>
      <c r="D10" s="591"/>
      <c r="E10" s="591"/>
      <c r="F10" s="591"/>
      <c r="G10" s="591"/>
      <c r="H10" s="591"/>
      <c r="I10" s="591"/>
      <c r="J10" s="591"/>
      <c r="K10" s="592"/>
    </row>
    <row r="11" spans="1:11" ht="21.95" customHeight="1">
      <c r="A11" s="590"/>
      <c r="B11" s="591"/>
      <c r="C11" s="591"/>
      <c r="D11" s="591"/>
      <c r="E11" s="591"/>
      <c r="F11" s="591"/>
      <c r="G11" s="591"/>
      <c r="H11" s="591"/>
      <c r="I11" s="591"/>
      <c r="J11" s="591"/>
      <c r="K11" s="592"/>
    </row>
    <row r="12" spans="1:11" ht="21.95" customHeight="1">
      <c r="A12" s="590"/>
      <c r="B12" s="591"/>
      <c r="C12" s="591"/>
      <c r="D12" s="591"/>
      <c r="E12" s="591"/>
      <c r="F12" s="591"/>
      <c r="G12" s="591"/>
      <c r="H12" s="591"/>
      <c r="I12" s="591"/>
      <c r="J12" s="591"/>
      <c r="K12" s="592"/>
    </row>
    <row r="13" spans="1:11" ht="21.95" customHeight="1">
      <c r="A13" s="590"/>
      <c r="B13" s="591"/>
      <c r="C13" s="591"/>
      <c r="D13" s="591"/>
      <c r="E13" s="591"/>
      <c r="F13" s="591"/>
      <c r="G13" s="591"/>
      <c r="H13" s="591"/>
      <c r="I13" s="591"/>
      <c r="J13" s="591"/>
      <c r="K13" s="592"/>
    </row>
    <row r="14" spans="1:11" ht="21.95" customHeight="1">
      <c r="A14" s="590"/>
      <c r="B14" s="591"/>
      <c r="C14" s="591"/>
      <c r="D14" s="591"/>
      <c r="E14" s="591"/>
      <c r="F14" s="591"/>
      <c r="G14" s="591"/>
      <c r="H14" s="591"/>
      <c r="I14" s="591"/>
      <c r="J14" s="591"/>
      <c r="K14" s="592"/>
    </row>
    <row r="15" spans="1:11" ht="21.95" customHeight="1">
      <c r="A15" s="590"/>
      <c r="B15" s="591"/>
      <c r="C15" s="591"/>
      <c r="D15" s="591"/>
      <c r="E15" s="591"/>
      <c r="F15" s="591"/>
      <c r="G15" s="591"/>
      <c r="H15" s="591"/>
      <c r="I15" s="591"/>
      <c r="J15" s="591"/>
      <c r="K15" s="592"/>
    </row>
    <row r="16" spans="1:11" ht="21.95" customHeight="1">
      <c r="A16" s="590"/>
      <c r="B16" s="591"/>
      <c r="C16" s="591"/>
      <c r="D16" s="591"/>
      <c r="E16" s="591"/>
      <c r="F16" s="591"/>
      <c r="G16" s="591"/>
      <c r="H16" s="591"/>
      <c r="I16" s="591"/>
      <c r="J16" s="591"/>
      <c r="K16" s="592"/>
    </row>
    <row r="17" spans="1:11" ht="21.95" customHeight="1">
      <c r="A17" s="590"/>
      <c r="B17" s="591"/>
      <c r="C17" s="591"/>
      <c r="D17" s="591"/>
      <c r="E17" s="591"/>
      <c r="F17" s="591"/>
      <c r="G17" s="591"/>
      <c r="H17" s="591"/>
      <c r="I17" s="591"/>
      <c r="J17" s="591"/>
      <c r="K17" s="592"/>
    </row>
    <row r="18" spans="1:11" ht="21.95" customHeight="1">
      <c r="A18" s="590"/>
      <c r="B18" s="591"/>
      <c r="C18" s="591"/>
      <c r="D18" s="591"/>
      <c r="E18" s="591"/>
      <c r="F18" s="591"/>
      <c r="G18" s="591"/>
      <c r="H18" s="591"/>
      <c r="I18" s="591"/>
      <c r="J18" s="591"/>
      <c r="K18" s="592"/>
    </row>
    <row r="19" spans="1:11" ht="21.95" customHeight="1">
      <c r="A19" s="593"/>
      <c r="B19" s="594"/>
      <c r="C19" s="594"/>
      <c r="D19" s="594"/>
      <c r="E19" s="594"/>
      <c r="F19" s="594"/>
      <c r="G19" s="594"/>
      <c r="H19" s="594"/>
      <c r="I19" s="594"/>
      <c r="J19" s="594"/>
      <c r="K19" s="595"/>
    </row>
  </sheetData>
  <mergeCells count="2">
    <mergeCell ref="A1:K1"/>
    <mergeCell ref="A2:K2"/>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3B7BB-55DE-4160-B016-3DC422390AE5}">
  <sheetPr>
    <tabColor rgb="FF2F5597"/>
  </sheetPr>
  <dimension ref="A1:L28"/>
  <sheetViews>
    <sheetView workbookViewId="0">
      <selection sqref="A1:L1"/>
    </sheetView>
  </sheetViews>
  <sheetFormatPr defaultRowHeight="15"/>
  <cols>
    <col min="1" max="1" width="5.28515625" customWidth="1"/>
    <col min="2" max="2" width="13.28515625" customWidth="1"/>
    <col min="3" max="3" width="5.28515625" customWidth="1"/>
    <col min="4" max="4" width="9.5703125" customWidth="1"/>
    <col min="5" max="5" width="7.5703125" customWidth="1"/>
    <col min="6" max="6" width="6.85546875" customWidth="1"/>
    <col min="7" max="8" width="5.28515625" customWidth="1"/>
    <col min="9" max="9" width="9.5703125" customWidth="1"/>
    <col min="10" max="10" width="8.42578125" customWidth="1"/>
    <col min="11" max="11" width="6.85546875" customWidth="1"/>
    <col min="12" max="12" width="4.5703125" customWidth="1"/>
  </cols>
  <sheetData>
    <row r="1" spans="1:12" ht="32.1" customHeight="1">
      <c r="A1" s="583" t="s">
        <v>4317</v>
      </c>
      <c r="B1" s="583"/>
      <c r="C1" s="583"/>
      <c r="D1" s="583"/>
      <c r="E1" s="583"/>
      <c r="F1" s="583"/>
      <c r="G1" s="583"/>
      <c r="H1" s="583"/>
      <c r="I1" s="583"/>
      <c r="J1" s="583"/>
      <c r="K1" s="583"/>
      <c r="L1" s="583"/>
    </row>
    <row r="2" spans="1:12">
      <c r="A2" s="584" t="s">
        <v>4318</v>
      </c>
      <c r="B2" s="584"/>
      <c r="C2" s="584"/>
      <c r="D2" s="584"/>
      <c r="E2" s="584"/>
      <c r="F2" s="584"/>
      <c r="G2" s="584"/>
      <c r="H2" s="584"/>
      <c r="I2" s="584"/>
      <c r="J2" s="584"/>
      <c r="K2" s="584"/>
      <c r="L2" s="584"/>
    </row>
    <row r="4" spans="1:12" ht="15.75">
      <c r="A4" s="596" t="s">
        <v>4319</v>
      </c>
      <c r="B4" s="596"/>
      <c r="C4" s="596"/>
      <c r="D4" s="596"/>
      <c r="E4" s="596"/>
      <c r="F4" s="596"/>
      <c r="G4" s="596"/>
      <c r="H4" s="596"/>
      <c r="I4" s="596"/>
      <c r="J4" s="596"/>
      <c r="K4" s="596"/>
      <c r="L4" s="596"/>
    </row>
    <row r="5" spans="1:12" ht="60">
      <c r="A5" s="597" t="s">
        <v>3711</v>
      </c>
      <c r="B5" s="597" t="s">
        <v>3712</v>
      </c>
      <c r="C5" s="597" t="s">
        <v>3713</v>
      </c>
      <c r="D5" s="597" t="s">
        <v>3714</v>
      </c>
      <c r="E5" s="597" t="s">
        <v>277</v>
      </c>
      <c r="F5" s="597" t="s">
        <v>566</v>
      </c>
      <c r="G5" s="597" t="s">
        <v>3715</v>
      </c>
      <c r="H5" s="597" t="s">
        <v>3716</v>
      </c>
      <c r="I5" s="597" t="s">
        <v>3717</v>
      </c>
      <c r="J5" s="597" t="s">
        <v>3718</v>
      </c>
      <c r="K5" s="597" t="s">
        <v>3719</v>
      </c>
      <c r="L5" s="597" t="s">
        <v>3720</v>
      </c>
    </row>
    <row r="6" spans="1:12" ht="45">
      <c r="A6" s="585" t="s">
        <v>4320</v>
      </c>
      <c r="B6" s="585" t="s">
        <v>4321</v>
      </c>
      <c r="C6" s="585" t="s">
        <v>4322</v>
      </c>
      <c r="D6" s="585" t="s">
        <v>4323</v>
      </c>
      <c r="E6" s="585" t="s">
        <v>4324</v>
      </c>
      <c r="F6" s="585" t="s">
        <v>4325</v>
      </c>
      <c r="G6" s="585" t="s">
        <v>4326</v>
      </c>
      <c r="H6" s="585" t="s">
        <v>4327</v>
      </c>
      <c r="I6" s="585" t="s">
        <v>4328</v>
      </c>
      <c r="J6" s="585" t="s">
        <v>4329</v>
      </c>
      <c r="K6" s="585" t="s">
        <v>4330</v>
      </c>
      <c r="L6" s="585" t="s">
        <v>4331</v>
      </c>
    </row>
    <row r="16" spans="1:12" ht="15.75">
      <c r="A16" s="596" t="s">
        <v>4332</v>
      </c>
      <c r="B16" s="596"/>
      <c r="C16" s="596"/>
      <c r="D16" s="596"/>
      <c r="E16" s="596"/>
      <c r="F16" s="596"/>
      <c r="G16" s="596"/>
      <c r="H16" s="596"/>
      <c r="I16" s="596"/>
      <c r="J16" s="596"/>
      <c r="K16" s="596"/>
      <c r="L16" s="596"/>
    </row>
    <row r="17" spans="1:12" ht="60">
      <c r="A17" s="597" t="s">
        <v>3751</v>
      </c>
      <c r="B17" s="597" t="s">
        <v>3752</v>
      </c>
      <c r="C17" s="597" t="s">
        <v>566</v>
      </c>
      <c r="D17" s="597" t="s">
        <v>1338</v>
      </c>
      <c r="E17" s="597" t="s">
        <v>277</v>
      </c>
      <c r="F17" s="597" t="s">
        <v>3753</v>
      </c>
      <c r="G17" s="597" t="s">
        <v>3754</v>
      </c>
      <c r="H17" s="597" t="s">
        <v>3755</v>
      </c>
      <c r="I17" s="597" t="s">
        <v>3756</v>
      </c>
      <c r="J17" s="597" t="s">
        <v>3757</v>
      </c>
      <c r="K17" s="597" t="s">
        <v>1040</v>
      </c>
      <c r="L17" s="597" t="s">
        <v>465</v>
      </c>
    </row>
    <row r="18" spans="1:12" ht="135">
      <c r="A18" s="585" t="s">
        <v>4333</v>
      </c>
      <c r="B18" s="585" t="s">
        <v>4334</v>
      </c>
      <c r="C18" s="585" t="s">
        <v>4335</v>
      </c>
      <c r="D18" s="585" t="s">
        <v>4336</v>
      </c>
      <c r="E18" s="585" t="s">
        <v>4337</v>
      </c>
      <c r="F18" s="585" t="s">
        <v>4338</v>
      </c>
      <c r="G18" s="585" t="s">
        <v>4339</v>
      </c>
      <c r="H18" s="585" t="s">
        <v>4340</v>
      </c>
      <c r="I18" s="585" t="s">
        <v>4341</v>
      </c>
      <c r="J18" s="585" t="s">
        <v>4342</v>
      </c>
      <c r="K18" s="585" t="s">
        <v>4343</v>
      </c>
      <c r="L18" s="585" t="s">
        <v>4344</v>
      </c>
    </row>
    <row r="26" spans="1:12" ht="15.75">
      <c r="A26" s="596" t="s">
        <v>4345</v>
      </c>
      <c r="B26" s="596"/>
      <c r="C26" s="596"/>
      <c r="D26" s="596"/>
      <c r="E26" s="596"/>
      <c r="F26" s="596"/>
      <c r="G26" s="596"/>
      <c r="H26" s="596"/>
      <c r="I26" s="596"/>
      <c r="J26" s="596"/>
      <c r="K26" s="596"/>
      <c r="L26" s="596"/>
    </row>
    <row r="27" spans="1:12" ht="45">
      <c r="A27" s="597" t="s">
        <v>3789</v>
      </c>
      <c r="B27" s="597" t="s">
        <v>3790</v>
      </c>
      <c r="C27" s="597" t="s">
        <v>79</v>
      </c>
      <c r="D27" s="597" t="s">
        <v>1989</v>
      </c>
      <c r="E27" s="597" t="s">
        <v>17</v>
      </c>
      <c r="F27" s="597" t="s">
        <v>275</v>
      </c>
      <c r="G27" s="597" t="s">
        <v>277</v>
      </c>
      <c r="H27" s="597" t="s">
        <v>276</v>
      </c>
      <c r="I27" s="597" t="s">
        <v>3791</v>
      </c>
      <c r="J27" s="597" t="s">
        <v>3792</v>
      </c>
      <c r="K27" s="597" t="s">
        <v>2702</v>
      </c>
      <c r="L27" s="597" t="s">
        <v>1682</v>
      </c>
    </row>
    <row r="28" spans="1:12" ht="56.25">
      <c r="A28" s="585" t="s">
        <v>4346</v>
      </c>
      <c r="B28" s="585" t="s">
        <v>4347</v>
      </c>
      <c r="C28" s="585" t="s">
        <v>4348</v>
      </c>
      <c r="D28" s="585" t="s">
        <v>4349</v>
      </c>
      <c r="E28" s="585" t="s">
        <v>4350</v>
      </c>
      <c r="F28" s="585" t="s">
        <v>4351</v>
      </c>
      <c r="G28" s="585" t="s">
        <v>4352</v>
      </c>
      <c r="H28" s="585" t="s">
        <v>4353</v>
      </c>
      <c r="I28" s="585" t="s">
        <v>4354</v>
      </c>
      <c r="J28" s="585" t="s">
        <v>4355</v>
      </c>
      <c r="K28" s="585" t="s">
        <v>4356</v>
      </c>
      <c r="L28" s="585" t="s">
        <v>4357</v>
      </c>
    </row>
  </sheetData>
  <mergeCells count="5">
    <mergeCell ref="A1:L1"/>
    <mergeCell ref="A2:L2"/>
    <mergeCell ref="A4:L4"/>
    <mergeCell ref="A16:L16"/>
    <mergeCell ref="A26:L26"/>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DEBBA-5945-4A27-9F8A-3C162FA03FBD}">
  <sheetPr>
    <tabColor rgb="FF2F5597"/>
  </sheetPr>
  <dimension ref="A1:H24"/>
  <sheetViews>
    <sheetView workbookViewId="0">
      <selection sqref="A1:H1"/>
    </sheetView>
  </sheetViews>
  <sheetFormatPr defaultRowHeight="15"/>
  <cols>
    <col min="1" max="1" width="5.28515625" customWidth="1"/>
    <col min="2" max="2" width="11.42578125" customWidth="1"/>
    <col min="3" max="3" width="19" customWidth="1"/>
    <col min="4" max="4" width="9.5703125" customWidth="1"/>
    <col min="5" max="7" width="13.28515625" customWidth="1"/>
    <col min="8" max="8" width="15.28515625" customWidth="1"/>
  </cols>
  <sheetData>
    <row r="1" spans="1:8" ht="32.1" customHeight="1">
      <c r="A1" s="583" t="s">
        <v>4358</v>
      </c>
      <c r="B1" s="583"/>
      <c r="C1" s="583"/>
      <c r="D1" s="583"/>
      <c r="E1" s="583"/>
      <c r="F1" s="583"/>
      <c r="G1" s="583"/>
      <c r="H1" s="583"/>
    </row>
    <row r="2" spans="1:8" ht="21.95" customHeight="1">
      <c r="A2" s="584" t="s">
        <v>4359</v>
      </c>
      <c r="B2" s="584"/>
      <c r="C2" s="584"/>
      <c r="D2" s="584"/>
      <c r="E2" s="584"/>
      <c r="F2" s="584"/>
      <c r="G2" s="584"/>
      <c r="H2" s="584"/>
    </row>
    <row r="3" spans="1:8" ht="30" customHeight="1">
      <c r="A3" s="430" t="s">
        <v>2498</v>
      </c>
      <c r="B3" s="431" t="s">
        <v>2499</v>
      </c>
      <c r="C3" s="431" t="s">
        <v>2500</v>
      </c>
      <c r="D3" s="431" t="s">
        <v>2501</v>
      </c>
      <c r="E3" s="431" t="s">
        <v>2502</v>
      </c>
      <c r="F3" s="431" t="s">
        <v>2503</v>
      </c>
      <c r="G3" s="431" t="s">
        <v>2504</v>
      </c>
      <c r="H3" s="586" t="s">
        <v>2505</v>
      </c>
    </row>
    <row r="4" spans="1:8" ht="44.1" customHeight="1">
      <c r="A4" s="587" t="s">
        <v>4360</v>
      </c>
      <c r="B4" s="588" t="s">
        <v>4361</v>
      </c>
      <c r="C4" s="588" t="s">
        <v>4362</v>
      </c>
      <c r="D4" s="588" t="s">
        <v>4363</v>
      </c>
      <c r="E4" s="588" t="s">
        <v>4364</v>
      </c>
      <c r="F4" s="588" t="s">
        <v>4365</v>
      </c>
      <c r="G4" s="588" t="s">
        <v>4366</v>
      </c>
      <c r="H4" s="589" t="s">
        <v>4367</v>
      </c>
    </row>
    <row r="5" spans="1:8" ht="21.95" customHeight="1">
      <c r="A5" s="590"/>
      <c r="B5" s="591"/>
      <c r="C5" s="591"/>
      <c r="D5" s="591"/>
      <c r="E5" s="591"/>
      <c r="F5" s="591"/>
      <c r="G5" s="591"/>
      <c r="H5" s="592"/>
    </row>
    <row r="6" spans="1:8" ht="21.95" customHeight="1">
      <c r="A6" s="590"/>
      <c r="B6" s="591"/>
      <c r="C6" s="591"/>
      <c r="D6" s="591"/>
      <c r="E6" s="591"/>
      <c r="F6" s="591"/>
      <c r="G6" s="591"/>
      <c r="H6" s="592"/>
    </row>
    <row r="7" spans="1:8" ht="21.95" customHeight="1">
      <c r="A7" s="590"/>
      <c r="B7" s="591"/>
      <c r="C7" s="591"/>
      <c r="D7" s="591"/>
      <c r="E7" s="591"/>
      <c r="F7" s="591"/>
      <c r="G7" s="591"/>
      <c r="H7" s="592"/>
    </row>
    <row r="8" spans="1:8" ht="21.95" customHeight="1">
      <c r="A8" s="590"/>
      <c r="B8" s="591"/>
      <c r="C8" s="591"/>
      <c r="D8" s="591"/>
      <c r="E8" s="591"/>
      <c r="F8" s="591"/>
      <c r="G8" s="591"/>
      <c r="H8" s="592"/>
    </row>
    <row r="9" spans="1:8" ht="21.95" customHeight="1">
      <c r="A9" s="590"/>
      <c r="B9" s="591"/>
      <c r="C9" s="591"/>
      <c r="D9" s="591"/>
      <c r="E9" s="591"/>
      <c r="F9" s="591"/>
      <c r="G9" s="591"/>
      <c r="H9" s="592"/>
    </row>
    <row r="10" spans="1:8" ht="21.95" customHeight="1">
      <c r="A10" s="590"/>
      <c r="B10" s="591"/>
      <c r="C10" s="591"/>
      <c r="D10" s="591"/>
      <c r="E10" s="591"/>
      <c r="F10" s="591"/>
      <c r="G10" s="591"/>
      <c r="H10" s="592"/>
    </row>
    <row r="11" spans="1:8" ht="21.95" customHeight="1">
      <c r="A11" s="590"/>
      <c r="B11" s="591"/>
      <c r="C11" s="591"/>
      <c r="D11" s="591"/>
      <c r="E11" s="591"/>
      <c r="F11" s="591"/>
      <c r="G11" s="591"/>
      <c r="H11" s="592"/>
    </row>
    <row r="12" spans="1:8" ht="21.95" customHeight="1">
      <c r="A12" s="590"/>
      <c r="B12" s="591"/>
      <c r="C12" s="591"/>
      <c r="D12" s="591"/>
      <c r="E12" s="591"/>
      <c r="F12" s="591"/>
      <c r="G12" s="591"/>
      <c r="H12" s="592"/>
    </row>
    <row r="13" spans="1:8" ht="21.95" customHeight="1">
      <c r="A13" s="590"/>
      <c r="B13" s="591"/>
      <c r="C13" s="591"/>
      <c r="D13" s="591"/>
      <c r="E13" s="591"/>
      <c r="F13" s="591"/>
      <c r="G13" s="591"/>
      <c r="H13" s="592"/>
    </row>
    <row r="14" spans="1:8" ht="21.95" customHeight="1">
      <c r="A14" s="590"/>
      <c r="B14" s="591"/>
      <c r="C14" s="591"/>
      <c r="D14" s="591"/>
      <c r="E14" s="591"/>
      <c r="F14" s="591"/>
      <c r="G14" s="591"/>
      <c r="H14" s="592"/>
    </row>
    <row r="15" spans="1:8" ht="21.95" customHeight="1">
      <c r="A15" s="590"/>
      <c r="B15" s="591"/>
      <c r="C15" s="591"/>
      <c r="D15" s="591"/>
      <c r="E15" s="591"/>
      <c r="F15" s="591"/>
      <c r="G15" s="591"/>
      <c r="H15" s="592"/>
    </row>
    <row r="16" spans="1:8" ht="21.95" customHeight="1">
      <c r="A16" s="590"/>
      <c r="B16" s="591"/>
      <c r="C16" s="591"/>
      <c r="D16" s="591"/>
      <c r="E16" s="591"/>
      <c r="F16" s="591"/>
      <c r="G16" s="591"/>
      <c r="H16" s="592"/>
    </row>
    <row r="17" spans="1:8" ht="21.95" customHeight="1">
      <c r="A17" s="590"/>
      <c r="B17" s="591"/>
      <c r="C17" s="591"/>
      <c r="D17" s="591"/>
      <c r="E17" s="591"/>
      <c r="F17" s="591"/>
      <c r="G17" s="591"/>
      <c r="H17" s="592"/>
    </row>
    <row r="18" spans="1:8" ht="21.95" customHeight="1">
      <c r="A18" s="590"/>
      <c r="B18" s="591"/>
      <c r="C18" s="591"/>
      <c r="D18" s="591"/>
      <c r="E18" s="591"/>
      <c r="F18" s="591"/>
      <c r="G18" s="591"/>
      <c r="H18" s="592"/>
    </row>
    <row r="19" spans="1:8" ht="21.95" customHeight="1">
      <c r="A19" s="590"/>
      <c r="B19" s="591"/>
      <c r="C19" s="591"/>
      <c r="D19" s="591"/>
      <c r="E19" s="591"/>
      <c r="F19" s="591"/>
      <c r="G19" s="591"/>
      <c r="H19" s="592"/>
    </row>
    <row r="20" spans="1:8" ht="21.95" customHeight="1">
      <c r="A20" s="590"/>
      <c r="B20" s="591"/>
      <c r="C20" s="591"/>
      <c r="D20" s="591"/>
      <c r="E20" s="591"/>
      <c r="F20" s="591"/>
      <c r="G20" s="591"/>
      <c r="H20" s="592"/>
    </row>
    <row r="21" spans="1:8" ht="21.95" customHeight="1">
      <c r="A21" s="590"/>
      <c r="B21" s="591"/>
      <c r="C21" s="591"/>
      <c r="D21" s="591"/>
      <c r="E21" s="591"/>
      <c r="F21" s="591"/>
      <c r="G21" s="591"/>
      <c r="H21" s="592"/>
    </row>
    <row r="22" spans="1:8" ht="21.95" customHeight="1">
      <c r="A22" s="590"/>
      <c r="B22" s="591"/>
      <c r="C22" s="591"/>
      <c r="D22" s="591"/>
      <c r="E22" s="591"/>
      <c r="F22" s="591"/>
      <c r="G22" s="591"/>
      <c r="H22" s="592"/>
    </row>
    <row r="23" spans="1:8" ht="21.95" customHeight="1">
      <c r="A23" s="590"/>
      <c r="B23" s="591"/>
      <c r="C23" s="591"/>
      <c r="D23" s="591"/>
      <c r="E23" s="591"/>
      <c r="F23" s="591"/>
      <c r="G23" s="591"/>
      <c r="H23" s="592"/>
    </row>
    <row r="24" spans="1:8" ht="21.95" customHeight="1">
      <c r="A24" s="593"/>
      <c r="B24" s="594"/>
      <c r="C24" s="594"/>
      <c r="D24" s="594"/>
      <c r="E24" s="594"/>
      <c r="F24" s="594"/>
      <c r="G24" s="594"/>
      <c r="H24" s="595"/>
    </row>
  </sheetData>
  <mergeCells count="2">
    <mergeCell ref="A1:H1"/>
    <mergeCell ref="A2:H2"/>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A13C-8983-4B85-8EDE-0E62FDCC29EA}">
  <sheetPr>
    <tabColor rgb="FF2F5597"/>
  </sheetPr>
  <dimension ref="A1:AB18"/>
  <sheetViews>
    <sheetView workbookViewId="0">
      <selection sqref="A1:AB1"/>
    </sheetView>
  </sheetViews>
  <sheetFormatPr defaultRowHeight="15"/>
  <cols>
    <col min="1" max="8" width="8.7109375" customWidth="1"/>
    <col min="9" max="9" width="1.140625" customWidth="1"/>
    <col min="10" max="17" width="8.7109375" customWidth="1"/>
    <col min="18" max="18" width="1.140625" customWidth="1"/>
    <col min="19" max="28" width="8.7109375" customWidth="1"/>
  </cols>
  <sheetData>
    <row r="1" spans="1:28" ht="32.1" customHeight="1">
      <c r="A1" s="583" t="s">
        <v>4368</v>
      </c>
      <c r="B1" s="583"/>
      <c r="C1" s="583"/>
      <c r="D1" s="583"/>
      <c r="E1" s="583"/>
      <c r="F1" s="583"/>
      <c r="G1" s="583"/>
      <c r="H1" s="583"/>
      <c r="I1" s="583"/>
      <c r="J1" s="583"/>
      <c r="K1" s="583"/>
      <c r="L1" s="583"/>
      <c r="M1" s="583"/>
      <c r="N1" s="583"/>
      <c r="O1" s="583"/>
      <c r="P1" s="583"/>
      <c r="Q1" s="583"/>
      <c r="R1" s="583"/>
      <c r="S1" s="583"/>
      <c r="T1" s="583"/>
      <c r="U1" s="583"/>
      <c r="V1" s="583"/>
      <c r="W1" s="583"/>
      <c r="X1" s="583"/>
      <c r="Y1" s="583"/>
      <c r="Z1" s="583"/>
      <c r="AA1" s="583"/>
      <c r="AB1" s="583"/>
    </row>
    <row r="2" spans="1:28">
      <c r="A2" s="584" t="s">
        <v>4369</v>
      </c>
      <c r="B2" s="584"/>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row>
    <row r="3" spans="1:28" ht="27.95" customHeight="1">
      <c r="A3" s="430" t="s">
        <v>277</v>
      </c>
      <c r="B3" s="431" t="s">
        <v>3182</v>
      </c>
      <c r="C3" s="431" t="s">
        <v>1682</v>
      </c>
      <c r="D3" s="431" t="s">
        <v>1986</v>
      </c>
      <c r="E3" s="431" t="s">
        <v>1029</v>
      </c>
      <c r="F3" s="431" t="s">
        <v>333</v>
      </c>
      <c r="G3" s="431" t="s">
        <v>1030</v>
      </c>
      <c r="H3" s="431" t="s">
        <v>1881</v>
      </c>
      <c r="I3" s="431"/>
      <c r="J3" s="431" t="s">
        <v>2623</v>
      </c>
      <c r="K3" s="431" t="s">
        <v>1026</v>
      </c>
      <c r="L3" s="431" t="s">
        <v>3183</v>
      </c>
      <c r="M3" s="431" t="s">
        <v>1820</v>
      </c>
      <c r="N3" s="431" t="s">
        <v>3184</v>
      </c>
      <c r="O3" s="431" t="s">
        <v>3185</v>
      </c>
      <c r="P3" s="431" t="s">
        <v>3186</v>
      </c>
      <c r="Q3" s="431" t="s">
        <v>3187</v>
      </c>
      <c r="R3" s="431"/>
      <c r="S3" s="431" t="s">
        <v>3188</v>
      </c>
      <c r="T3" s="431" t="s">
        <v>871</v>
      </c>
      <c r="U3" s="431" t="s">
        <v>3076</v>
      </c>
      <c r="V3" s="431" t="s">
        <v>3189</v>
      </c>
      <c r="W3" s="431" t="s">
        <v>1017</v>
      </c>
      <c r="X3" s="431" t="s">
        <v>1477</v>
      </c>
      <c r="Y3" s="431" t="s">
        <v>3190</v>
      </c>
      <c r="Z3" s="431" t="s">
        <v>3191</v>
      </c>
      <c r="AA3" s="431" t="s">
        <v>3192</v>
      </c>
      <c r="AB3" s="586" t="s">
        <v>1019</v>
      </c>
    </row>
    <row r="4" spans="1:28" ht="21.95" customHeight="1">
      <c r="A4" s="590"/>
      <c r="B4" s="591"/>
      <c r="C4" s="591"/>
      <c r="D4" s="591"/>
      <c r="E4" s="591"/>
      <c r="F4" s="591"/>
      <c r="G4" s="591"/>
      <c r="H4" s="591"/>
      <c r="I4" s="591"/>
      <c r="J4" s="591"/>
      <c r="K4" s="591"/>
      <c r="L4" s="591"/>
      <c r="M4" s="591"/>
      <c r="N4" s="591"/>
      <c r="O4" s="591"/>
      <c r="P4" s="591"/>
      <c r="Q4" s="591"/>
      <c r="R4" s="591"/>
      <c r="S4" s="591"/>
      <c r="T4" s="591"/>
      <c r="U4" s="591"/>
      <c r="V4" s="591"/>
      <c r="W4" s="591"/>
      <c r="X4" s="591"/>
      <c r="Y4" s="591"/>
      <c r="Z4" s="591"/>
      <c r="AA4" s="591"/>
      <c r="AB4" s="592"/>
    </row>
    <row r="5" spans="1:28" ht="21.95" customHeight="1">
      <c r="A5" s="590"/>
      <c r="B5" s="591"/>
      <c r="C5" s="591"/>
      <c r="D5" s="591"/>
      <c r="E5" s="591"/>
      <c r="F5" s="591"/>
      <c r="G5" s="591"/>
      <c r="H5" s="591"/>
      <c r="I5" s="591"/>
      <c r="J5" s="591"/>
      <c r="K5" s="591"/>
      <c r="L5" s="591"/>
      <c r="M5" s="591"/>
      <c r="N5" s="591"/>
      <c r="O5" s="591"/>
      <c r="P5" s="591"/>
      <c r="Q5" s="591"/>
      <c r="R5" s="591"/>
      <c r="S5" s="591"/>
      <c r="T5" s="591"/>
      <c r="U5" s="591"/>
      <c r="V5" s="591"/>
      <c r="W5" s="591"/>
      <c r="X5" s="591"/>
      <c r="Y5" s="591"/>
      <c r="Z5" s="591"/>
      <c r="AA5" s="591"/>
      <c r="AB5" s="592"/>
    </row>
    <row r="6" spans="1:28" ht="21.95" customHeight="1">
      <c r="A6" s="590"/>
      <c r="B6" s="591"/>
      <c r="C6" s="591"/>
      <c r="D6" s="591"/>
      <c r="E6" s="591"/>
      <c r="F6" s="591"/>
      <c r="G6" s="591"/>
      <c r="H6" s="591"/>
      <c r="I6" s="591"/>
      <c r="J6" s="591"/>
      <c r="K6" s="591"/>
      <c r="L6" s="591"/>
      <c r="M6" s="591"/>
      <c r="N6" s="591"/>
      <c r="O6" s="591"/>
      <c r="P6" s="591"/>
      <c r="Q6" s="591"/>
      <c r="R6" s="591"/>
      <c r="S6" s="591"/>
      <c r="T6" s="591"/>
      <c r="U6" s="591"/>
      <c r="V6" s="591"/>
      <c r="W6" s="591"/>
      <c r="X6" s="591"/>
      <c r="Y6" s="591"/>
      <c r="Z6" s="591"/>
      <c r="AA6" s="591"/>
      <c r="AB6" s="592"/>
    </row>
    <row r="7" spans="1:28" ht="21.95" customHeight="1">
      <c r="A7" s="590"/>
      <c r="B7" s="591"/>
      <c r="C7" s="591"/>
      <c r="D7" s="591"/>
      <c r="E7" s="591"/>
      <c r="F7" s="591"/>
      <c r="G7" s="591"/>
      <c r="H7" s="591"/>
      <c r="I7" s="591"/>
      <c r="J7" s="591"/>
      <c r="K7" s="591"/>
      <c r="L7" s="591"/>
      <c r="M7" s="591"/>
      <c r="N7" s="591"/>
      <c r="O7" s="591"/>
      <c r="P7" s="591"/>
      <c r="Q7" s="591"/>
      <c r="R7" s="591"/>
      <c r="S7" s="591"/>
      <c r="T7" s="591"/>
      <c r="U7" s="591"/>
      <c r="V7" s="591"/>
      <c r="W7" s="591"/>
      <c r="X7" s="591"/>
      <c r="Y7" s="591"/>
      <c r="Z7" s="591"/>
      <c r="AA7" s="591"/>
      <c r="AB7" s="592"/>
    </row>
    <row r="8" spans="1:28" ht="21.95" customHeight="1">
      <c r="A8" s="590"/>
      <c r="B8" s="591"/>
      <c r="C8" s="591"/>
      <c r="D8" s="591"/>
      <c r="E8" s="591"/>
      <c r="F8" s="591"/>
      <c r="G8" s="591"/>
      <c r="H8" s="591"/>
      <c r="I8" s="591"/>
      <c r="J8" s="591"/>
      <c r="K8" s="591"/>
      <c r="L8" s="591"/>
      <c r="M8" s="591"/>
      <c r="N8" s="591"/>
      <c r="O8" s="591"/>
      <c r="P8" s="591"/>
      <c r="Q8" s="591"/>
      <c r="R8" s="591"/>
      <c r="S8" s="591"/>
      <c r="T8" s="591"/>
      <c r="U8" s="591"/>
      <c r="V8" s="591"/>
      <c r="W8" s="591"/>
      <c r="X8" s="591"/>
      <c r="Y8" s="591"/>
      <c r="Z8" s="591"/>
      <c r="AA8" s="591"/>
      <c r="AB8" s="592"/>
    </row>
    <row r="9" spans="1:28" ht="21.95" customHeight="1">
      <c r="A9" s="590"/>
      <c r="B9" s="591"/>
      <c r="C9" s="591"/>
      <c r="D9" s="591"/>
      <c r="E9" s="591"/>
      <c r="F9" s="591"/>
      <c r="G9" s="591"/>
      <c r="H9" s="591"/>
      <c r="I9" s="591"/>
      <c r="J9" s="591"/>
      <c r="K9" s="591"/>
      <c r="L9" s="591"/>
      <c r="M9" s="591"/>
      <c r="N9" s="591"/>
      <c r="O9" s="591"/>
      <c r="P9" s="591"/>
      <c r="Q9" s="591"/>
      <c r="R9" s="591"/>
      <c r="S9" s="591"/>
      <c r="T9" s="591"/>
      <c r="U9" s="591"/>
      <c r="V9" s="591"/>
      <c r="W9" s="591"/>
      <c r="X9" s="591"/>
      <c r="Y9" s="591"/>
      <c r="Z9" s="591"/>
      <c r="AA9" s="591"/>
      <c r="AB9" s="592"/>
    </row>
    <row r="10" spans="1:28" ht="21.95" customHeight="1">
      <c r="A10" s="590"/>
      <c r="B10" s="591"/>
      <c r="C10" s="591"/>
      <c r="D10" s="591"/>
      <c r="E10" s="591"/>
      <c r="F10" s="591"/>
      <c r="G10" s="591"/>
      <c r="H10" s="591"/>
      <c r="I10" s="591"/>
      <c r="J10" s="591"/>
      <c r="K10" s="591"/>
      <c r="L10" s="591"/>
      <c r="M10" s="591"/>
      <c r="N10" s="591"/>
      <c r="O10" s="591"/>
      <c r="P10" s="591"/>
      <c r="Q10" s="591"/>
      <c r="R10" s="591"/>
      <c r="S10" s="591"/>
      <c r="T10" s="591"/>
      <c r="U10" s="591"/>
      <c r="V10" s="591"/>
      <c r="W10" s="591"/>
      <c r="X10" s="591"/>
      <c r="Y10" s="591"/>
      <c r="Z10" s="591"/>
      <c r="AA10" s="591"/>
      <c r="AB10" s="592"/>
    </row>
    <row r="11" spans="1:28" ht="21.95" customHeight="1">
      <c r="A11" s="590"/>
      <c r="B11" s="591"/>
      <c r="C11" s="591"/>
      <c r="D11" s="591"/>
      <c r="E11" s="591"/>
      <c r="F11" s="591"/>
      <c r="G11" s="591"/>
      <c r="H11" s="591"/>
      <c r="I11" s="591"/>
      <c r="J11" s="591"/>
      <c r="K11" s="591"/>
      <c r="L11" s="591"/>
      <c r="M11" s="591"/>
      <c r="N11" s="591"/>
      <c r="O11" s="591"/>
      <c r="P11" s="591"/>
      <c r="Q11" s="591"/>
      <c r="R11" s="591"/>
      <c r="S11" s="591"/>
      <c r="T11" s="591"/>
      <c r="U11" s="591"/>
      <c r="V11" s="591"/>
      <c r="W11" s="591"/>
      <c r="X11" s="591"/>
      <c r="Y11" s="591"/>
      <c r="Z11" s="591"/>
      <c r="AA11" s="591"/>
      <c r="AB11" s="592"/>
    </row>
    <row r="12" spans="1:28" ht="21.95" customHeight="1">
      <c r="A12" s="590"/>
      <c r="B12" s="591"/>
      <c r="C12" s="591"/>
      <c r="D12" s="591"/>
      <c r="E12" s="591"/>
      <c r="F12" s="591"/>
      <c r="G12" s="591"/>
      <c r="H12" s="591"/>
      <c r="I12" s="591"/>
      <c r="J12" s="591"/>
      <c r="K12" s="591"/>
      <c r="L12" s="591"/>
      <c r="M12" s="591"/>
      <c r="N12" s="591"/>
      <c r="O12" s="591"/>
      <c r="P12" s="591"/>
      <c r="Q12" s="591"/>
      <c r="R12" s="591"/>
      <c r="S12" s="591"/>
      <c r="T12" s="591"/>
      <c r="U12" s="591"/>
      <c r="V12" s="591"/>
      <c r="W12" s="591"/>
      <c r="X12" s="591"/>
      <c r="Y12" s="591"/>
      <c r="Z12" s="591"/>
      <c r="AA12" s="591"/>
      <c r="AB12" s="592"/>
    </row>
    <row r="13" spans="1:28" ht="21.95" customHeight="1">
      <c r="A13" s="590"/>
      <c r="B13" s="591"/>
      <c r="C13" s="591"/>
      <c r="D13" s="591"/>
      <c r="E13" s="591"/>
      <c r="F13" s="591"/>
      <c r="G13" s="591"/>
      <c r="H13" s="591"/>
      <c r="I13" s="591"/>
      <c r="J13" s="591"/>
      <c r="K13" s="591"/>
      <c r="L13" s="591"/>
      <c r="M13" s="591"/>
      <c r="N13" s="591"/>
      <c r="O13" s="591"/>
      <c r="P13" s="591"/>
      <c r="Q13" s="591"/>
      <c r="R13" s="591"/>
      <c r="S13" s="591"/>
      <c r="T13" s="591"/>
      <c r="U13" s="591"/>
      <c r="V13" s="591"/>
      <c r="W13" s="591"/>
      <c r="X13" s="591"/>
      <c r="Y13" s="591"/>
      <c r="Z13" s="591"/>
      <c r="AA13" s="591"/>
      <c r="AB13" s="592"/>
    </row>
    <row r="14" spans="1:28" ht="21.95" customHeight="1">
      <c r="A14" s="590"/>
      <c r="B14" s="591"/>
      <c r="C14" s="591"/>
      <c r="D14" s="591"/>
      <c r="E14" s="591"/>
      <c r="F14" s="591"/>
      <c r="G14" s="591"/>
      <c r="H14" s="591"/>
      <c r="I14" s="591"/>
      <c r="J14" s="591"/>
      <c r="K14" s="591"/>
      <c r="L14" s="591"/>
      <c r="M14" s="591"/>
      <c r="N14" s="591"/>
      <c r="O14" s="591"/>
      <c r="P14" s="591"/>
      <c r="Q14" s="591"/>
      <c r="R14" s="591"/>
      <c r="S14" s="591"/>
      <c r="T14" s="591"/>
      <c r="U14" s="591"/>
      <c r="V14" s="591"/>
      <c r="W14" s="591"/>
      <c r="X14" s="591"/>
      <c r="Y14" s="591"/>
      <c r="Z14" s="591"/>
      <c r="AA14" s="591"/>
      <c r="AB14" s="592"/>
    </row>
    <row r="15" spans="1:28" ht="21.95" customHeight="1">
      <c r="A15" s="590"/>
      <c r="B15" s="591"/>
      <c r="C15" s="591"/>
      <c r="D15" s="591"/>
      <c r="E15" s="591"/>
      <c r="F15" s="591"/>
      <c r="G15" s="591"/>
      <c r="H15" s="591"/>
      <c r="I15" s="591"/>
      <c r="J15" s="591"/>
      <c r="K15" s="591"/>
      <c r="L15" s="591"/>
      <c r="M15" s="591"/>
      <c r="N15" s="591"/>
      <c r="O15" s="591"/>
      <c r="P15" s="591"/>
      <c r="Q15" s="591"/>
      <c r="R15" s="591"/>
      <c r="S15" s="591"/>
      <c r="T15" s="591"/>
      <c r="U15" s="591"/>
      <c r="V15" s="591"/>
      <c r="W15" s="591"/>
      <c r="X15" s="591"/>
      <c r="Y15" s="591"/>
      <c r="Z15" s="591"/>
      <c r="AA15" s="591"/>
      <c r="AB15" s="592"/>
    </row>
    <row r="16" spans="1:28" ht="21.95" customHeight="1">
      <c r="A16" s="590"/>
      <c r="B16" s="591"/>
      <c r="C16" s="591"/>
      <c r="D16" s="591"/>
      <c r="E16" s="591"/>
      <c r="F16" s="591"/>
      <c r="G16" s="591"/>
      <c r="H16" s="591"/>
      <c r="I16" s="591"/>
      <c r="J16" s="591"/>
      <c r="K16" s="591"/>
      <c r="L16" s="591"/>
      <c r="M16" s="591"/>
      <c r="N16" s="591"/>
      <c r="O16" s="591"/>
      <c r="P16" s="591"/>
      <c r="Q16" s="591"/>
      <c r="R16" s="591"/>
      <c r="S16" s="591"/>
      <c r="T16" s="591"/>
      <c r="U16" s="591"/>
      <c r="V16" s="591"/>
      <c r="W16" s="591"/>
      <c r="X16" s="591"/>
      <c r="Y16" s="591"/>
      <c r="Z16" s="591"/>
      <c r="AA16" s="591"/>
      <c r="AB16" s="592"/>
    </row>
    <row r="17" spans="1:28" ht="21.95" customHeight="1">
      <c r="A17" s="590"/>
      <c r="B17" s="591"/>
      <c r="C17" s="591"/>
      <c r="D17" s="591"/>
      <c r="E17" s="591"/>
      <c r="F17" s="591"/>
      <c r="G17" s="591"/>
      <c r="H17" s="591"/>
      <c r="I17" s="591"/>
      <c r="J17" s="591"/>
      <c r="K17" s="591"/>
      <c r="L17" s="591"/>
      <c r="M17" s="591"/>
      <c r="N17" s="591"/>
      <c r="O17" s="591"/>
      <c r="P17" s="591"/>
      <c r="Q17" s="591"/>
      <c r="R17" s="591"/>
      <c r="S17" s="591"/>
      <c r="T17" s="591"/>
      <c r="U17" s="591"/>
      <c r="V17" s="591"/>
      <c r="W17" s="591"/>
      <c r="X17" s="591"/>
      <c r="Y17" s="591"/>
      <c r="Z17" s="591"/>
      <c r="AA17" s="591"/>
      <c r="AB17" s="592"/>
    </row>
    <row r="18" spans="1:28" ht="21.95" customHeight="1">
      <c r="A18" s="593"/>
      <c r="B18" s="594"/>
      <c r="C18" s="594"/>
      <c r="D18" s="594"/>
      <c r="E18" s="594"/>
      <c r="F18" s="594"/>
      <c r="G18" s="594"/>
      <c r="H18" s="594"/>
      <c r="I18" s="594"/>
      <c r="J18" s="594"/>
      <c r="K18" s="594"/>
      <c r="L18" s="594"/>
      <c r="M18" s="594"/>
      <c r="N18" s="594"/>
      <c r="O18" s="594"/>
      <c r="P18" s="594"/>
      <c r="Q18" s="594"/>
      <c r="R18" s="594"/>
      <c r="S18" s="594"/>
      <c r="T18" s="594"/>
      <c r="U18" s="594"/>
      <c r="V18" s="594"/>
      <c r="W18" s="594"/>
      <c r="X18" s="594"/>
      <c r="Y18" s="594"/>
      <c r="Z18" s="594"/>
      <c r="AA18" s="594"/>
      <c r="AB18" s="595"/>
    </row>
  </sheetData>
  <mergeCells count="2">
    <mergeCell ref="A1:AB1"/>
    <mergeCell ref="A2:A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Board Dashboard</vt:lpstr>
      <vt:lpstr>Board Pack Notes</vt:lpstr>
      <vt:lpstr>Board KPI-KRI Tracker</vt:lpstr>
      <vt:lpstr>Management Review and Internal </vt:lpstr>
      <vt:lpstr>Dashboard</vt:lpstr>
      <vt:lpstr>Executive Report</vt:lpstr>
      <vt:lpstr>TOM &amp; Strategy</vt:lpstr>
      <vt:lpstr>TOM Index</vt:lpstr>
      <vt:lpstr>AI Use Case Register</vt:lpstr>
      <vt:lpstr>Governance Framework</vt:lpstr>
      <vt:lpstr>RACI Matrix</vt:lpstr>
      <vt:lpstr>Service Catalog Master</vt:lpstr>
      <vt:lpstr>SLA-SLO Definitions</vt:lpstr>
      <vt:lpstr>Service Request Log</vt:lpstr>
      <vt:lpstr>KRI Tracking</vt:lpstr>
      <vt:lpstr>Risk Quantification</vt:lpstr>
      <vt:lpstr>Third-Party Risk Services</vt:lpstr>
      <vt:lpstr>Incident Analysis</vt:lpstr>
      <vt:lpstr>Compliance Mapping</vt:lpstr>
      <vt:lpstr>Cloud Security Services</vt:lpstr>
      <vt:lpstr>IAM Services</vt:lpstr>
      <vt:lpstr>KPI Tracking</vt:lpstr>
      <vt:lpstr>Maturity Assessment</vt:lpstr>
      <vt:lpstr>Metrics Calculation Guide</vt:lpstr>
      <vt:lpstr>Technology Stack</vt:lpstr>
      <vt:lpstr>Automation Hub</vt:lpstr>
      <vt:lpstr>Resource Planning</vt:lpstr>
      <vt:lpstr>Financial Analysis</vt:lpstr>
      <vt:lpstr>Implementation Roadmap</vt:lpstr>
      <vt:lpstr>Business Continuity</vt:lpstr>
      <vt:lpstr>Reference Data</vt:lpstr>
      <vt:lpstr>ID Glossary and Navigation Inde</vt:lpstr>
      <vt:lpstr>FORM - Index</vt:lpstr>
      <vt:lpstr>FORM - AI Use Case Register</vt:lpstr>
      <vt:lpstr>FORM - Risk Quantification</vt:lpstr>
      <vt:lpstr>FORM - KRI Tracking</vt:lpstr>
      <vt:lpstr>FORM - KPI Tracking</vt:lpstr>
      <vt:lpstr>FORM - Incident Analysis</vt:lpstr>
      <vt:lpstr>FORM - Third-Party Risk</vt:lpstr>
      <vt:lpstr>FORM - Compliance Mapping</vt:lpstr>
      <vt:lpstr>FORM - Service Catalog</vt:lpstr>
      <vt:lpstr>FORM - SLA-SLO Definitions</vt:lpstr>
      <vt:lpstr>FORM - Service Request Log</vt:lpstr>
      <vt:lpstr>FORM - Governance Framework</vt:lpstr>
      <vt:lpstr>FORM - RACI Matrix</vt:lpstr>
      <vt:lpstr>FORM - Maturity Assessment</vt:lpstr>
      <vt:lpstr>FORM - Implementation Roadmap</vt:lpstr>
      <vt:lpstr>FORM - Resource Planning</vt:lpstr>
      <vt:lpstr>FORM - Financial Analysis</vt:lpstr>
      <vt:lpstr>FORM - Cloud Security</vt:lpstr>
      <vt:lpstr>FORM - IAM Services</vt:lpstr>
      <vt:lpstr>FORM - Technology Stack</vt:lpstr>
      <vt:lpstr>FORM - Automation Hub</vt:lpstr>
      <vt:lpstr>FORM - Business Continuity</vt:lpstr>
      <vt:lpstr>FORM - Mgmt Review &amp; Audit</vt:lpstr>
      <vt:lpstr>FORM - Metrics Calc Guide</vt:lpstr>
      <vt:lpstr>FORM - Reference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Larry Ogunbanjo</cp:lastModifiedBy>
  <dcterms:created xsi:type="dcterms:W3CDTF">2026-05-10T11:49:42Z</dcterms:created>
  <dcterms:modified xsi:type="dcterms:W3CDTF">2026-08-06T19:42:41Z</dcterms:modified>
</cp:coreProperties>
</file>